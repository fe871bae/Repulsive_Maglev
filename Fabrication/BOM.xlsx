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e8db53ab5f331/2_Studium/6_Semester/Projektarbeit_Schwebekugel/"/>
    </mc:Choice>
  </mc:AlternateContent>
  <xr:revisionPtr revIDLastSave="500" documentId="8_{F0313B52-4F7E-A642-A074-92C07792733E}" xr6:coauthVersionLast="47" xr6:coauthVersionMax="47" xr10:uidLastSave="{F6BE62A7-A86A-3243-80FA-06D070CF067B}"/>
  <bookViews>
    <workbookView xWindow="0" yWindow="660" windowWidth="29400" windowHeight="18460" xr2:uid="{73DC868B-8CA6-F241-86DF-81B76CC31312}"/>
  </bookViews>
  <sheets>
    <sheet name="Bestellliste" sheetId="2" r:id="rId1"/>
    <sheet name="Kostenübersicht" sheetId="3" r:id="rId2"/>
    <sheet name="Bom_Rohdaten" sheetId="4" r:id="rId3"/>
  </sheets>
  <definedNames>
    <definedName name="ExterneDaten_1" localSheetId="2" hidden="1">Bom_Rohdaten!$A$1:$H$43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2" l="1"/>
  <c r="Q35" i="2"/>
  <c r="L18" i="2"/>
  <c r="E6" i="2"/>
  <c r="E10" i="2"/>
  <c r="E14" i="2"/>
  <c r="E21" i="2"/>
  <c r="E22" i="2"/>
  <c r="E26" i="2"/>
  <c r="E30" i="2"/>
  <c r="E34" i="2"/>
  <c r="E38" i="2"/>
  <c r="E41" i="2"/>
  <c r="E44" i="2"/>
  <c r="F44" i="2" s="1"/>
  <c r="Q44" i="2" s="1"/>
  <c r="E45" i="2"/>
  <c r="F45" i="2" s="1"/>
  <c r="Q45" i="2" s="1"/>
  <c r="E46" i="2"/>
  <c r="F46" i="2" s="1"/>
  <c r="Q46" i="2" s="1"/>
  <c r="E47" i="2"/>
  <c r="F47" i="2" s="1"/>
  <c r="Q47" i="2" s="1"/>
  <c r="E48" i="2"/>
  <c r="F48" i="2" s="1"/>
  <c r="Q48" i="2" s="1"/>
  <c r="E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2" i="2"/>
  <c r="C2" i="2"/>
  <c r="D2" i="2"/>
  <c r="G2" i="2"/>
  <c r="H2" i="2"/>
  <c r="I2" i="2"/>
  <c r="K2" i="2"/>
  <c r="C3" i="2"/>
  <c r="D3" i="2"/>
  <c r="E3" i="2" s="1"/>
  <c r="G3" i="2"/>
  <c r="H3" i="2"/>
  <c r="I3" i="2"/>
  <c r="K3" i="2"/>
  <c r="C4" i="2"/>
  <c r="D4" i="2"/>
  <c r="E4" i="2" s="1"/>
  <c r="G4" i="2"/>
  <c r="H4" i="2"/>
  <c r="I4" i="2"/>
  <c r="K4" i="2"/>
  <c r="C5" i="2"/>
  <c r="D5" i="2"/>
  <c r="E5" i="2" s="1"/>
  <c r="G5" i="2"/>
  <c r="H5" i="2"/>
  <c r="I5" i="2"/>
  <c r="K5" i="2"/>
  <c r="C6" i="2"/>
  <c r="D6" i="2"/>
  <c r="G6" i="2"/>
  <c r="H6" i="2"/>
  <c r="I6" i="2"/>
  <c r="K6" i="2"/>
  <c r="C7" i="2"/>
  <c r="D7" i="2"/>
  <c r="E7" i="2" s="1"/>
  <c r="G7" i="2"/>
  <c r="H7" i="2"/>
  <c r="I7" i="2"/>
  <c r="K7" i="2"/>
  <c r="C8" i="2"/>
  <c r="D8" i="2"/>
  <c r="E8" i="2" s="1"/>
  <c r="G8" i="2"/>
  <c r="H8" i="2"/>
  <c r="I8" i="2"/>
  <c r="K8" i="2"/>
  <c r="C9" i="2"/>
  <c r="D9" i="2"/>
  <c r="E9" i="2" s="1"/>
  <c r="F9" i="2" s="1"/>
  <c r="Q9" i="2" s="1"/>
  <c r="G9" i="2"/>
  <c r="H9" i="2"/>
  <c r="I9" i="2"/>
  <c r="K9" i="2"/>
  <c r="C10" i="2"/>
  <c r="D10" i="2"/>
  <c r="G10" i="2"/>
  <c r="H10" i="2"/>
  <c r="I10" i="2"/>
  <c r="K10" i="2"/>
  <c r="C11" i="2"/>
  <c r="D11" i="2"/>
  <c r="E11" i="2" s="1"/>
  <c r="G11" i="2"/>
  <c r="H11" i="2"/>
  <c r="I11" i="2"/>
  <c r="K11" i="2"/>
  <c r="C12" i="2"/>
  <c r="D12" i="2"/>
  <c r="E12" i="2" s="1"/>
  <c r="G12" i="2"/>
  <c r="H12" i="2"/>
  <c r="I12" i="2"/>
  <c r="K12" i="2"/>
  <c r="C13" i="2"/>
  <c r="D13" i="2"/>
  <c r="E13" i="2" s="1"/>
  <c r="I13" i="2"/>
  <c r="K13" i="2"/>
  <c r="C14" i="2"/>
  <c r="D14" i="2"/>
  <c r="G14" i="2"/>
  <c r="H14" i="2"/>
  <c r="I14" i="2"/>
  <c r="K14" i="2"/>
  <c r="C15" i="2"/>
  <c r="D15" i="2"/>
  <c r="E15" i="2" s="1"/>
  <c r="G15" i="2"/>
  <c r="I15" i="2"/>
  <c r="K15" i="2"/>
  <c r="C16" i="2"/>
  <c r="D16" i="2"/>
  <c r="E16" i="2" s="1"/>
  <c r="I16" i="2"/>
  <c r="K16" i="2"/>
  <c r="C17" i="2"/>
  <c r="D17" i="2"/>
  <c r="E17" i="2" s="1"/>
  <c r="I17" i="2"/>
  <c r="K17" i="2"/>
  <c r="C18" i="2"/>
  <c r="D18" i="2"/>
  <c r="E18" i="2" s="1"/>
  <c r="I18" i="2"/>
  <c r="K18" i="2"/>
  <c r="C19" i="2"/>
  <c r="D19" i="2"/>
  <c r="E19" i="2" s="1"/>
  <c r="G19" i="2"/>
  <c r="H19" i="2"/>
  <c r="I19" i="2"/>
  <c r="K19" i="2"/>
  <c r="C20" i="2"/>
  <c r="D20" i="2"/>
  <c r="E20" i="2" s="1"/>
  <c r="G20" i="2"/>
  <c r="H20" i="2"/>
  <c r="I20" i="2"/>
  <c r="K20" i="2"/>
  <c r="C21" i="2"/>
  <c r="D21" i="2"/>
  <c r="G21" i="2"/>
  <c r="H21" i="2"/>
  <c r="I21" i="2"/>
  <c r="K21" i="2"/>
  <c r="C22" i="2"/>
  <c r="D22" i="2"/>
  <c r="G22" i="2"/>
  <c r="H22" i="2"/>
  <c r="I22" i="2"/>
  <c r="K22" i="2"/>
  <c r="C23" i="2"/>
  <c r="D23" i="2"/>
  <c r="E23" i="2" s="1"/>
  <c r="I23" i="2"/>
  <c r="K23" i="2"/>
  <c r="C24" i="2"/>
  <c r="D24" i="2"/>
  <c r="E24" i="2" s="1"/>
  <c r="G24" i="2"/>
  <c r="H24" i="2"/>
  <c r="I24" i="2"/>
  <c r="K24" i="2"/>
  <c r="C25" i="2"/>
  <c r="D25" i="2"/>
  <c r="E25" i="2" s="1"/>
  <c r="G25" i="2"/>
  <c r="H25" i="2"/>
  <c r="I25" i="2"/>
  <c r="K25" i="2"/>
  <c r="C26" i="2"/>
  <c r="D26" i="2"/>
  <c r="G26" i="2"/>
  <c r="H26" i="2"/>
  <c r="I26" i="2"/>
  <c r="K26" i="2"/>
  <c r="C27" i="2"/>
  <c r="D27" i="2"/>
  <c r="E27" i="2" s="1"/>
  <c r="G27" i="2"/>
  <c r="H27" i="2"/>
  <c r="I27" i="2"/>
  <c r="K27" i="2"/>
  <c r="C28" i="2"/>
  <c r="D28" i="2"/>
  <c r="E28" i="2" s="1"/>
  <c r="G28" i="2"/>
  <c r="H28" i="2"/>
  <c r="I28" i="2"/>
  <c r="K28" i="2"/>
  <c r="C29" i="2"/>
  <c r="D29" i="2"/>
  <c r="E29" i="2" s="1"/>
  <c r="G29" i="2"/>
  <c r="H29" i="2"/>
  <c r="I29" i="2"/>
  <c r="K29" i="2"/>
  <c r="C30" i="2"/>
  <c r="D30" i="2"/>
  <c r="G30" i="2"/>
  <c r="H30" i="2"/>
  <c r="I30" i="2"/>
  <c r="K30" i="2"/>
  <c r="C31" i="2"/>
  <c r="D31" i="2"/>
  <c r="E31" i="2" s="1"/>
  <c r="G31" i="2"/>
  <c r="H31" i="2"/>
  <c r="I31" i="2"/>
  <c r="K31" i="2"/>
  <c r="C32" i="2"/>
  <c r="D32" i="2"/>
  <c r="E32" i="2" s="1"/>
  <c r="G32" i="2"/>
  <c r="H32" i="2"/>
  <c r="I32" i="2"/>
  <c r="K32" i="2"/>
  <c r="C33" i="2"/>
  <c r="D33" i="2"/>
  <c r="E33" i="2" s="1"/>
  <c r="G33" i="2"/>
  <c r="H33" i="2"/>
  <c r="I33" i="2"/>
  <c r="K33" i="2"/>
  <c r="C34" i="2"/>
  <c r="D34" i="2"/>
  <c r="G34" i="2"/>
  <c r="H34" i="2"/>
  <c r="I34" i="2"/>
  <c r="K34" i="2"/>
  <c r="C35" i="2"/>
  <c r="D35" i="2"/>
  <c r="E35" i="2" s="1"/>
  <c r="G35" i="2"/>
  <c r="H35" i="2"/>
  <c r="I35" i="2"/>
  <c r="K35" i="2"/>
  <c r="C36" i="2"/>
  <c r="D36" i="2"/>
  <c r="E36" i="2" s="1"/>
  <c r="G36" i="2"/>
  <c r="H36" i="2"/>
  <c r="I36" i="2"/>
  <c r="K36" i="2"/>
  <c r="C37" i="2"/>
  <c r="D37" i="2"/>
  <c r="E37" i="2" s="1"/>
  <c r="G37" i="2"/>
  <c r="H37" i="2"/>
  <c r="I37" i="2"/>
  <c r="K37" i="2"/>
  <c r="C38" i="2"/>
  <c r="D38" i="2"/>
  <c r="H38" i="2"/>
  <c r="I38" i="2"/>
  <c r="K38" i="2"/>
  <c r="C39" i="2"/>
  <c r="D39" i="2"/>
  <c r="E39" i="2" s="1"/>
  <c r="G39" i="2"/>
  <c r="H39" i="2"/>
  <c r="I39" i="2"/>
  <c r="K39" i="2"/>
  <c r="C40" i="2"/>
  <c r="D40" i="2"/>
  <c r="E40" i="2" s="1"/>
  <c r="G40" i="2"/>
  <c r="H40" i="2"/>
  <c r="I40" i="2"/>
  <c r="K40" i="2"/>
  <c r="C41" i="2"/>
  <c r="D41" i="2"/>
  <c r="G41" i="2"/>
  <c r="H41" i="2"/>
  <c r="I41" i="2"/>
  <c r="K41" i="2"/>
  <c r="C42" i="2"/>
  <c r="D42" i="2"/>
  <c r="E42" i="2" s="1"/>
  <c r="G42" i="2"/>
  <c r="H42" i="2"/>
  <c r="I42" i="2"/>
  <c r="K42" i="2"/>
  <c r="C43" i="2"/>
  <c r="D43" i="2"/>
  <c r="E43" i="2" s="1"/>
  <c r="G43" i="2"/>
  <c r="H43" i="2"/>
  <c r="I43" i="2"/>
  <c r="K43" i="2"/>
  <c r="F2" i="2" l="1"/>
  <c r="Q2" i="2" s="1"/>
  <c r="F38" i="2"/>
  <c r="Q38" i="2" s="1"/>
  <c r="F30" i="2"/>
  <c r="Q30" i="2" s="1"/>
  <c r="F23" i="2"/>
  <c r="Q23" i="2" s="1"/>
  <c r="F8" i="2"/>
  <c r="Q8" i="2" s="1"/>
  <c r="F33" i="2"/>
  <c r="Q33" i="2" s="1"/>
  <c r="F6" i="2"/>
  <c r="Q6" i="2" s="1"/>
  <c r="F14" i="2"/>
  <c r="Q14" i="2" s="1"/>
  <c r="F5" i="2"/>
  <c r="Q5" i="2" s="1"/>
  <c r="F40" i="2"/>
  <c r="Q40" i="2" s="1"/>
  <c r="F37" i="2"/>
  <c r="Q37" i="2" s="1"/>
  <c r="F16" i="2"/>
  <c r="Q16" i="2" s="1"/>
  <c r="F13" i="2"/>
  <c r="Q13" i="2" s="1"/>
  <c r="F22" i="2"/>
  <c r="Q22" i="2" s="1"/>
  <c r="F20" i="2"/>
  <c r="Q20" i="2" s="1"/>
  <c r="F4" i="2"/>
  <c r="Q4" i="2" s="1"/>
  <c r="F18" i="2"/>
  <c r="Q18" i="2" s="1"/>
  <c r="F29" i="2"/>
  <c r="Q29" i="2" s="1"/>
  <c r="F25" i="2"/>
  <c r="Q25" i="2" s="1"/>
  <c r="F36" i="2"/>
  <c r="Q36" i="2" s="1"/>
  <c r="F28" i="2"/>
  <c r="Q28" i="2" s="1"/>
  <c r="F21" i="2"/>
  <c r="Q21" i="2" s="1"/>
  <c r="F12" i="2"/>
  <c r="Q12" i="2" s="1"/>
  <c r="F43" i="2"/>
  <c r="Q43" i="2" s="1"/>
  <c r="F35" i="2"/>
  <c r="F27" i="2"/>
  <c r="Q27" i="2" s="1"/>
  <c r="F19" i="2"/>
  <c r="Q19" i="2" s="1"/>
  <c r="F11" i="2"/>
  <c r="Q11" i="2" s="1"/>
  <c r="F3" i="2"/>
  <c r="Q3" i="2" s="1"/>
  <c r="F17" i="2"/>
  <c r="Q17" i="2" s="1"/>
  <c r="F34" i="2"/>
  <c r="Q34" i="2" s="1"/>
  <c r="F42" i="2"/>
  <c r="Q42" i="2" s="1"/>
  <c r="F31" i="2"/>
  <c r="Q31" i="2" s="1"/>
  <c r="F39" i="2"/>
  <c r="Q39" i="2" s="1"/>
  <c r="F7" i="2"/>
  <c r="Q7" i="2" s="1"/>
  <c r="F41" i="2"/>
  <c r="Q41" i="2" s="1"/>
  <c r="F26" i="2"/>
  <c r="Q26" i="2" s="1"/>
  <c r="F10" i="2"/>
  <c r="Q10" i="2" s="1"/>
  <c r="F32" i="2"/>
  <c r="Q32" i="2" s="1"/>
  <c r="F24" i="2"/>
  <c r="Q24" i="2" s="1"/>
  <c r="F15" i="2"/>
  <c r="Q1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7ECA33-03E3-C745-BD87-996E49141279}" keepAlive="1" name="Abfrage - Maglev" description="Verbindung mit der Abfrage 'Maglev' in der Arbeitsmappe." type="5" refreshedVersion="8" background="1" saveData="1">
    <dbPr connection="Provider=Microsoft.Mashup.OleDb.1;Data Source=$Workbook$;Location=Maglev;Extended Properties=&quot;&quot;" command="SELECT * FROM [Maglev]"/>
  </connection>
</connections>
</file>

<file path=xl/sharedStrings.xml><?xml version="1.0" encoding="utf-8"?>
<sst xmlns="http://schemas.openxmlformats.org/spreadsheetml/2006/main" count="399" uniqueCount="260">
  <si>
    <t>Pos</t>
  </si>
  <si>
    <t>Category</t>
  </si>
  <si>
    <t>Reference</t>
  </si>
  <si>
    <t>Qty PCB</t>
  </si>
  <si>
    <t>Qty Reserve</t>
  </si>
  <si>
    <t>Manufacturer</t>
  </si>
  <si>
    <t>Part Number</t>
  </si>
  <si>
    <t>Package</t>
  </si>
  <si>
    <t>Order Link</t>
  </si>
  <si>
    <t>Datasheet</t>
  </si>
  <si>
    <t>Supplier</t>
  </si>
  <si>
    <t>Unit Price</t>
  </si>
  <si>
    <t>Total Price</t>
  </si>
  <si>
    <t>Ordered?</t>
  </si>
  <si>
    <t>Delivered?</t>
  </si>
  <si>
    <t>Comment</t>
  </si>
  <si>
    <t>Value</t>
  </si>
  <si>
    <t>Footprint</t>
  </si>
  <si>
    <t>Description</t>
  </si>
  <si>
    <t>BOOT1,RESET1</t>
  </si>
  <si>
    <t>Switch_SMD_Wurth:SW_Wurth_WS-TASV_430182043816</t>
  </si>
  <si>
    <t>https://www.we-online.com/catalog/datasheet/430182043816.pdf?ki</t>
  </si>
  <si>
    <t>Wurth Elektronik</t>
  </si>
  <si>
    <t>SMT Tact Switch 6x6 mm</t>
  </si>
  <si>
    <t>C1,C2,C5,C9,C27,C29</t>
  </si>
  <si>
    <t>1206_H1.6_885012208093</t>
  </si>
  <si>
    <t>Capacitor_SMD_Wurth:C_Wurth_WCAP-CSGP-1206_H1.6</t>
  </si>
  <si>
    <t>https://www.we-online.com/catalog/datasheet/885012208093.pdf?ki</t>
  </si>
  <si>
    <t>MLCCs 50 V(DC) ED</t>
  </si>
  <si>
    <t>C3</t>
  </si>
  <si>
    <t>1206_H1.6_885012108021</t>
  </si>
  <si>
    <t>https://www.we-online.com/catalog/datasheet/885012108021.pdf?ki</t>
  </si>
  <si>
    <t>MLCCs 25 V(DC)</t>
  </si>
  <si>
    <t>C4,C7,C8,C10,C13,C14,C15,C16,C21,C22,C23,C24</t>
  </si>
  <si>
    <t>1206_H1.25_885012208118</t>
  </si>
  <si>
    <t>Capacitor_SMD_Wurth:C_Wurth_WCAP-CSGP-1206_H1.25</t>
  </si>
  <si>
    <t>https://www.we-online.com/catalog/datasheet/885012208118.pdf?ki</t>
  </si>
  <si>
    <t>MLCCs 100 V(DC) ED</t>
  </si>
  <si>
    <t>C6</t>
  </si>
  <si>
    <t>1206_H1.25_885012008055</t>
  </si>
  <si>
    <t>https://www.we-online.com/catalog/datasheet/885012008055.pdf?ki</t>
  </si>
  <si>
    <t>C11,C12,C19,C20</t>
  </si>
  <si>
    <t>1206_H0.8_885012208083</t>
  </si>
  <si>
    <t>Capacitor_SMD_Wurth:C_Wurth_WCAP-CSGP-1206_H0.8</t>
  </si>
  <si>
    <t>https://www.we-online.com/catalog/datasheet/885012208083.pdf?ki</t>
  </si>
  <si>
    <t>C17,C18,C25,C26</t>
  </si>
  <si>
    <t>1210_H2.5_885012109011</t>
  </si>
  <si>
    <t>Capacitor_SMD_Wurth:C_Wurth_WCAP-CSGP-1210_H2.5</t>
  </si>
  <si>
    <t>https://www.we-online.com/catalog/datasheet/885012109011.pdf?ki</t>
  </si>
  <si>
    <t>MLCCs 16 V(DC) ED</t>
  </si>
  <si>
    <t>C28</t>
  </si>
  <si>
    <t>1206_H0.8_885012008001</t>
  </si>
  <si>
    <t>https://www.we-online.com/catalog/datasheet/885012008001.pdf?ki</t>
  </si>
  <si>
    <t>MLCCs 10 V(DC) ED</t>
  </si>
  <si>
    <t>C30</t>
  </si>
  <si>
    <t>1206_H1.6_885342008003</t>
  </si>
  <si>
    <t>Capacitor_SMD_Wurth:C_Wurth_WCAP-CSMH-1206_H1.6</t>
  </si>
  <si>
    <t>https://www.we-online.com/catalog/datasheet/885342008003.pdf?ki</t>
  </si>
  <si>
    <t>MLCCS Mid and High Voltage</t>
  </si>
  <si>
    <t>C31</t>
  </si>
  <si>
    <t>1206_H1.6_885012108003</t>
  </si>
  <si>
    <t>https://www.we-online.com/catalog/datasheet/885012108003.pdf?ki</t>
  </si>
  <si>
    <t>MLCCs 6.3 V(DC) ED</t>
  </si>
  <si>
    <t>C32,C33</t>
  </si>
  <si>
    <t>0603_R_885012006002</t>
  </si>
  <si>
    <t>Capacitor_SMD_Wurth:C_Wurth_WCAP-CSGP-0603_R</t>
  </si>
  <si>
    <t>https://www.we-online.com/catalog/datasheet/885012006002.pdf?ki</t>
  </si>
  <si>
    <t>EMA1,EMB1,EMC1,EMD1</t>
  </si>
  <si>
    <t>DRV8874PWPR</t>
  </si>
  <si>
    <t>DRV8874PWPR:SOP65P640X120-17N</t>
  </si>
  <si>
    <t>40-V, 6-A H-bridge motor driver with integrated current sensing feedback</t>
  </si>
  <si>
    <t>FB1</t>
  </si>
  <si>
    <t>0603_W2.6_742792641</t>
  </si>
  <si>
    <t>Ferrite_SMD_Wurth:FB_Wurth_WE-CBF-0603_W2.6</t>
  </si>
  <si>
    <t>https://www.we-online.com/catalog/datasheet/742792641.pdf?ki</t>
  </si>
  <si>
    <t>EMI Suppression Ferrite Bead, Multi-purpose Ferrite</t>
  </si>
  <si>
    <t>I2C1</t>
  </si>
  <si>
    <t>Connector_THT_Wurth:J_Wurth_WR-PHD_61300311121</t>
  </si>
  <si>
    <t>https://www.we-online.com/en/components/products/datasheet/61300311121?ki</t>
  </si>
  <si>
    <t>2.54 mm THT Pin Header</t>
  </si>
  <si>
    <t>IC1</t>
  </si>
  <si>
    <t>TLV1117LV33DCYR</t>
  </si>
  <si>
    <t>SOT230P700X180-4N:SOT230P700X180-4N</t>
  </si>
  <si>
    <t>http://www.ti.com/lit/gpn/tlv1117lv</t>
  </si>
  <si>
    <t>Texas Instruments</t>
  </si>
  <si>
    <t>1-A, Positive Fixed Voltage, Low-Dropout Regulator</t>
  </si>
  <si>
    <t>J1</t>
  </si>
  <si>
    <t>WURTH_USB:629722000214_CUSTOM</t>
  </si>
  <si>
    <t>USB CONN, 2.0 TYPE C, R/A RCPT, 16P, SMT;</t>
  </si>
  <si>
    <t>J2</t>
  </si>
  <si>
    <t>691103110002:691103110002</t>
  </si>
  <si>
    <t>Serie 1031 - 3,50mm pitch - Modular THT - Blue - Horizontal cable entry Wire Protector 8.4mm height - 02p</t>
  </si>
  <si>
    <t>J3,J6</t>
  </si>
  <si>
    <t>Connector_THT_Wurth:J_Wurth_WR-PHD_61300621121</t>
  </si>
  <si>
    <t>https://www.we-online.com/en/components/products/datasheet/61300621121?ki</t>
  </si>
  <si>
    <t>2.54 mm THT Dual Pin Header</t>
  </si>
  <si>
    <t>J4</t>
  </si>
  <si>
    <t>Connector_THT_Wurth:J_Wurth_WR-PHD_61300821121</t>
  </si>
  <si>
    <t>https://www.we-online.com/en/components/products/datasheet/61300821121?ki</t>
  </si>
  <si>
    <t>J7,J8</t>
  </si>
  <si>
    <t>Connector_THT_Wurth:J_Wurth_WR-MM_690367191672</t>
  </si>
  <si>
    <t>https://www.we-online.com/en/components/products/datasheet/690367191672?ki</t>
  </si>
  <si>
    <t>Female Connector with Latch &amp; w/o Polarization</t>
  </si>
  <si>
    <t>J11,J12</t>
  </si>
  <si>
    <t>Connector_THT_Wurth:J_Wurth_WR-MM_690367190672</t>
  </si>
  <si>
    <t>https://www.we-online.com/en/components/products/datasheet/690367190672?ki</t>
  </si>
  <si>
    <t>L1,L2,L3,L4</t>
  </si>
  <si>
    <t>ElectromagneticActor</t>
  </si>
  <si>
    <t>CUSTOM:Electromagnet</t>
  </si>
  <si>
    <t>Electromagnetic actor</t>
  </si>
  <si>
    <t>L5</t>
  </si>
  <si>
    <t>0603_744761020A</t>
  </si>
  <si>
    <t>Inductor_SMD_Wurth:L_Wurth_WE-KI-0603</t>
  </si>
  <si>
    <t>https://www.we-online.com/catalog/datasheet/744761020A.pdf?ki</t>
  </si>
  <si>
    <t>744761020A</t>
  </si>
  <si>
    <t>Wire Wound Ceramic Inductor</t>
  </si>
  <si>
    <t>L6</t>
  </si>
  <si>
    <t>0603_744761124A</t>
  </si>
  <si>
    <t>https://www.we-online.com/catalog/datasheet/744761124A.pdf?ki</t>
  </si>
  <si>
    <t>744761124A</t>
  </si>
  <si>
    <t>POWER_LED2,Status_LED_RX1,Status_LED_TX1</t>
  </si>
  <si>
    <t>0603dome_150060VS86000</t>
  </si>
  <si>
    <t>LED_SMD_Wurth:D_Wurth_WL-SMCW-0603dome</t>
  </si>
  <si>
    <t>https://www.we-online.com/catalog/datasheet/150060VS86000.pdf?ki</t>
  </si>
  <si>
    <t>150060VS86000</t>
  </si>
  <si>
    <t>Mono-color Chip LED Waterclear</t>
  </si>
  <si>
    <t>R1,R2</t>
  </si>
  <si>
    <t>0805_R_560112120019</t>
  </si>
  <si>
    <t>Resistor_SMD_Wurth:R_Wurth_WRIS-RSKS-0805_R</t>
  </si>
  <si>
    <t>https://www.we-online.com/catalog/datasheet/560112120019.pdf?ki</t>
  </si>
  <si>
    <t>Anti-Sulfur Thick Film Resistors</t>
  </si>
  <si>
    <t>R3,R4,R11</t>
  </si>
  <si>
    <t>1206_R_560112132018</t>
  </si>
  <si>
    <t>Resistor_SMD_Wurth:R_Wurth_WRIS-RSKS-1206_R</t>
  </si>
  <si>
    <t>https://www.we-online.com/catalog/datasheet/560112132018.pdf?ki</t>
  </si>
  <si>
    <t>R6,R7</t>
  </si>
  <si>
    <t>1206_R_560112132050</t>
  </si>
  <si>
    <t>https://www.we-online.com/catalog/datasheet/560112132050.pdf?ki</t>
  </si>
  <si>
    <t>R8,R9,R10</t>
  </si>
  <si>
    <t>0805_R_560112120030</t>
  </si>
  <si>
    <t>https://www.we-online.com/catalog/datasheet/560112120030.pdf?ki</t>
  </si>
  <si>
    <t>R12,R13,R16,R17</t>
  </si>
  <si>
    <t>1206_R_560112132019</t>
  </si>
  <si>
    <t>https://www.we-online.com/catalog/datasheet/560112132019.pdf?ki</t>
  </si>
  <si>
    <t>R18</t>
  </si>
  <si>
    <t>0603_R_560112116101</t>
  </si>
  <si>
    <t>Resistor_SMD_Wurth:R_Wurth_WRIS-RSKS-0603_R</t>
  </si>
  <si>
    <t>https://www.we-online.com/catalog/datasheet/560112116101.pdf?ki</t>
  </si>
  <si>
    <t>R19</t>
  </si>
  <si>
    <t>0402_560112110016</t>
  </si>
  <si>
    <t>Resistor_SMD_Wurth:R_Wurth_WRIS-RSKS-0402</t>
  </si>
  <si>
    <t>https://www.we-online.com/catalog/datasheet/560112110016.pdf?ki</t>
  </si>
  <si>
    <t>R20,R25,R30,R35</t>
  </si>
  <si>
    <t>1206_R_560112132041</t>
  </si>
  <si>
    <t>https://www.we-online.com/catalog/datasheet/560112132041.pdf?ki</t>
  </si>
  <si>
    <t>R21,R26,R31,R36</t>
  </si>
  <si>
    <t>0603_R_560112116048</t>
  </si>
  <si>
    <t>https://www.we-online.com/catalog/datasheet/560112116048.pdf?ki</t>
  </si>
  <si>
    <t>R22,R24,R27,R29,R32,R34,R37,R39</t>
  </si>
  <si>
    <t>0805_R_560112120002</t>
  </si>
  <si>
    <t>https://www.we-online.com/catalog/datasheet/560112120002.pdf?ki</t>
  </si>
  <si>
    <t>R23,R28,R33,R38</t>
  </si>
  <si>
    <t>U1</t>
  </si>
  <si>
    <t>WE-TVS-82400102</t>
  </si>
  <si>
    <t>Package_TO_SOT_SMD:SOT-23-6</t>
  </si>
  <si>
    <t>https://www.we-online.com/components/products/datasheet/82400102.pdf</t>
  </si>
  <si>
    <t>Low Capacitance TVS Diode Array, 2 Channels, SOT-23-6</t>
  </si>
  <si>
    <t>U2</t>
  </si>
  <si>
    <t>ESP32-C3</t>
  </si>
  <si>
    <t>Package_DFN_QFN:QFN-32-1EP_5x5mm_P0.5mm_EP3.45x3.45mm</t>
  </si>
  <si>
    <t>https://www.espressif.com/sites/default/files/documentation/esp32-c3_datasheet_en.pdf</t>
  </si>
  <si>
    <t>U4</t>
  </si>
  <si>
    <t>TMAG5173A2QDBVRQ1</t>
  </si>
  <si>
    <t>SOT95P280X145-6N:SOT95P280X145-6N</t>
  </si>
  <si>
    <t>https://www.ti.com/lit/gpn/tmag5273</t>
  </si>
  <si>
    <t>Automotive, high-precision, linear 3D Hall-effect sensor with I²C interface</t>
  </si>
  <si>
    <t>U5</t>
  </si>
  <si>
    <t>TPS259474ARPWR</t>
  </si>
  <si>
    <t>IC_TPS259474ARPWR:IC_TPS259474ARPWR</t>
  </si>
  <si>
    <t>2.7-V to 23-V, 28-mΩ, 5.5-A eFuse with integrated reverse polarity protection</t>
  </si>
  <si>
    <t>UART1</t>
  </si>
  <si>
    <t>Connector_THT_Wurth:J_Wurth_WR-PHD_61300211121</t>
  </si>
  <si>
    <t>https://www.we-online.com/en/components/products/datasheet/61300211121?ki</t>
  </si>
  <si>
    <t>Y1</t>
  </si>
  <si>
    <t>IQXC-42_830108213209</t>
  </si>
  <si>
    <t>Crystal_SMD_Wurth:Y_Wurth_WE-XTAL_Quartz-IQXC-42</t>
  </si>
  <si>
    <t>https://www.we-online.com/catalog/datasheet/830108213209.pdf?ki</t>
  </si>
  <si>
    <t>Quartz Crystal ED</t>
  </si>
  <si>
    <t>Switch</t>
  </si>
  <si>
    <t>Qty_PCB</t>
  </si>
  <si>
    <t>430182043816</t>
  </si>
  <si>
    <t>885012208093</t>
  </si>
  <si>
    <t>885012108021</t>
  </si>
  <si>
    <t>885012208118</t>
  </si>
  <si>
    <t>885012008055</t>
  </si>
  <si>
    <t>885012208083</t>
  </si>
  <si>
    <t>885012109011</t>
  </si>
  <si>
    <t>885012008001</t>
  </si>
  <si>
    <t>885342008003</t>
  </si>
  <si>
    <t>885012108003</t>
  </si>
  <si>
    <t>885012006002</t>
  </si>
  <si>
    <t/>
  </si>
  <si>
    <t>742792641</t>
  </si>
  <si>
    <t>61300311121</t>
  </si>
  <si>
    <t>629722000214</t>
  </si>
  <si>
    <t>691103110002</t>
  </si>
  <si>
    <t>61300621121</t>
  </si>
  <si>
    <t>61300821121</t>
  </si>
  <si>
    <t>690367191672</t>
  </si>
  <si>
    <t>690367190672</t>
  </si>
  <si>
    <t>560112120019</t>
  </si>
  <si>
    <t>560112132018</t>
  </si>
  <si>
    <t>560112132050</t>
  </si>
  <si>
    <t>560112120030</t>
  </si>
  <si>
    <t>560112132019</t>
  </si>
  <si>
    <t>560112116101</t>
  </si>
  <si>
    <t>560112110016</t>
  </si>
  <si>
    <t>560112132041</t>
  </si>
  <si>
    <t>560112116048</t>
  </si>
  <si>
    <t>560112120002</t>
  </si>
  <si>
    <t>61300211121</t>
  </si>
  <si>
    <t>830108213209</t>
  </si>
  <si>
    <t>Capacitor</t>
  </si>
  <si>
    <t>Resistor</t>
  </si>
  <si>
    <t>H-Bridge</t>
  </si>
  <si>
    <t>Ferrite Bead</t>
  </si>
  <si>
    <t>Connector</t>
  </si>
  <si>
    <t>LDO Voltage Regulator</t>
  </si>
  <si>
    <t>USB-C Connector</t>
  </si>
  <si>
    <t>Terminal Block</t>
  </si>
  <si>
    <t>Coil</t>
  </si>
  <si>
    <t>Inductor</t>
  </si>
  <si>
    <t>LED</t>
  </si>
  <si>
    <t>Amazon</t>
  </si>
  <si>
    <t>/</t>
  </si>
  <si>
    <t>TVS diode</t>
  </si>
  <si>
    <t>Microcontroller</t>
  </si>
  <si>
    <t>3D-Hallsensor</t>
  </si>
  <si>
    <t>eFuse</t>
  </si>
  <si>
    <t>Crystal</t>
  </si>
  <si>
    <t>Ribbon Cable 6-pin</t>
  </si>
  <si>
    <t>Ribbon Cable 16-pin</t>
  </si>
  <si>
    <t>63910615521CAB</t>
  </si>
  <si>
    <t>63911615521CAB</t>
  </si>
  <si>
    <t>WR-CAB Flat Ribbon Cable, 6-pin, 1.27mm pitch</t>
  </si>
  <si>
    <t>WR-CAB Flat Ribbon Cable, 16-pin, 1.27mm pitch</t>
  </si>
  <si>
    <t>Cylinder Head Screw</t>
  </si>
  <si>
    <t>Cylinder Head Screw DIN 7984 M3x8</t>
  </si>
  <si>
    <t>Lock Nuts</t>
  </si>
  <si>
    <t>WA-HEX Hexagonal Lock Nuts for D-Sub</t>
  </si>
  <si>
    <t>Steel Spacer</t>
  </si>
  <si>
    <t>WA-SSTII Steel Spacer Stud, metric, internal/internal</t>
  </si>
  <si>
    <t>https://www.we-online.com/de/components/products/WA-SSTII_STEEL_SPACER_STUD_METRIC_INTERNAL_INTERNAL?sq=970200351#970200351</t>
  </si>
  <si>
    <t>S1,S2,S3,S4,S5,S6,S7,S8</t>
  </si>
  <si>
    <t>Datasheet (click Name)</t>
  </si>
  <si>
    <t>Ergebnis</t>
  </si>
  <si>
    <t>Qty Order</t>
  </si>
  <si>
    <t>Supplier Part Number</t>
  </si>
  <si>
    <t>Anzahl Platinen:</t>
  </si>
  <si>
    <t>TLV1117LV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</si>
</sst>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3" tint="0.249977111117893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1" fontId="5" fillId="0" borderId="0" xfId="0" applyNumberFormat="1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" fontId="0" fillId="0" borderId="0" xfId="0" applyNumberFormat="1" applyBorder="1" applyAlignment="1">
      <alignment horizontal="center" vertical="top"/>
    </xf>
    <xf numFmtId="0" fontId="3" fillId="0" borderId="0" xfId="0" applyFont="1" applyBorder="1"/>
    <xf numFmtId="0" fontId="0" fillId="0" borderId="0" xfId="0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3" fillId="0" borderId="0" xfId="0" applyNumberFormat="1" applyFont="1" applyBorder="1" applyAlignment="1">
      <alignment horizontal="center" vertical="top"/>
    </xf>
    <xf numFmtId="0" fontId="9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3" fillId="0" borderId="0" xfId="1" applyFont="1" applyBorder="1"/>
  </cellXfs>
  <cellStyles count="2">
    <cellStyle name="Link" xfId="1" builtinId="8"/>
    <cellStyle name="Standard" xfId="0" builtinId="0"/>
  </cellStyles>
  <dxfs count="53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3" tint="0.249977111117893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top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strike val="0"/>
        <outline val="0"/>
        <shadow val="0"/>
        <u/>
        <vertAlign val="baseline"/>
        <sz val="12"/>
        <color theme="3" tint="0.249977111117893"/>
        <name val="Aptos Narrow"/>
        <family val="2"/>
        <scheme val="minor"/>
      </font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1" formatCode="0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/>
      </font>
      <alignment horizontal="center" vertical="top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6"/>
        <name val="Aptos Narrow"/>
        <scheme val="minor"/>
      </font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969DA56-4114-DA48-AFD8-6DF861E3B5F8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_PCB" tableColumnId="2"/>
      <queryTableField id="3" name="Value" tableColumnId="3"/>
      <queryTableField id="4" name="Footprint" tableColumnId="4"/>
      <queryTableField id="5" name="Datasheet" tableColumnId="5"/>
      <queryTableField id="6" name="Manufacturer" tableColumnId="6"/>
      <queryTableField id="7" name="Part Number" tableColumnId="7"/>
      <queryTableField id="8" name="Description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E5564-8B8B-D949-86D7-AE2BF1A53559}" name="Bestellliste" displayName="Bestellliste" ref="A1:T49" totalsRowCount="1" headerRowDxfId="44" dataDxfId="45">
  <autoFilter ref="A1:T48" xr:uid="{5B1E5564-8B8B-D949-86D7-AE2BF1A53559}"/>
  <tableColumns count="20">
    <tableColumn id="1" xr3:uid="{611B3ADC-3785-534D-882F-71DAFF4CBCA0}" name="Pos" totalsRowLabel="Ergebnis" dataDxfId="39" totalsRowDxfId="19"/>
    <tableColumn id="2" xr3:uid="{1967119C-A80E-544E-BD79-70AA7F5D9FFE}" name="Category" dataDxfId="38" totalsRowDxfId="18"/>
    <tableColumn id="3" xr3:uid="{67E5B592-61DE-9B4C-8DB3-D27025D24816}" name="Reference" dataDxfId="37" totalsRowDxfId="17">
      <calculatedColumnFormula>tbl_Rohdaten[[#This Row],[Reference]]</calculatedColumnFormula>
    </tableColumn>
    <tableColumn id="4" xr3:uid="{18D00EC5-BFE7-E645-AD22-1975ABBC1BC6}" name="Qty PCB" dataDxfId="36" totalsRowDxfId="16">
      <calculatedColumnFormula>tbl_Rohdaten[[#This Row],[Qty_PCB]]</calculatedColumnFormula>
    </tableColumn>
    <tableColumn id="5" xr3:uid="{80C81120-114A-5046-89AF-C1E4AEA82B77}" name="Qty Reserve" dataDxfId="35" totalsRowDxfId="15">
      <calculatedColumnFormula>Bestellliste[[#This Row],[Qty PCB]]*($C$50-1)</calculatedColumnFormula>
    </tableColumn>
    <tableColumn id="6" xr3:uid="{A987510C-398A-0A4D-BDE4-0171C74BA434}" name="Qty Order" dataDxfId="34" totalsRowDxfId="14">
      <calculatedColumnFormula>Bestellliste[[#This Row],[Qty PCB]]+Bestellliste[[#This Row],[Qty Reserve]]</calculatedColumnFormula>
    </tableColumn>
    <tableColumn id="7" xr3:uid="{94410C85-51CC-2F45-B9F0-C9F49192E26C}" name="Manufacturer" dataDxfId="33" totalsRowDxfId="13">
      <calculatedColumnFormula>tbl_Rohdaten[[#This Row],[Manufacturer]]</calculatedColumnFormula>
    </tableColumn>
    <tableColumn id="8" xr3:uid="{3E97718E-ACE7-7045-A921-2B6434D5CEB2}" name="Part Number" dataDxfId="32" totalsRowDxfId="12">
      <calculatedColumnFormula>tbl_Rohdaten[[#This Row],[Part Number]]</calculatedColumnFormula>
    </tableColumn>
    <tableColumn id="19" xr3:uid="{72012465-BE5B-9B44-BD71-C420D4A9ED85}" name="Footprint" dataDxfId="31" totalsRowDxfId="11">
      <calculatedColumnFormula>tbl_Rohdaten[[#This Row],[Footprint]]</calculatedColumnFormula>
    </tableColumn>
    <tableColumn id="9" xr3:uid="{3B07D9E2-E9AA-8C48-9283-E2022CB7D9BB}" name="Package" dataDxfId="30" totalsRowDxfId="10"/>
    <tableColumn id="20" xr3:uid="{68F90FC6-9B90-2E4A-A7DF-AAEB02215C3A}" name="Description" dataDxfId="29" totalsRowDxfId="9">
      <calculatedColumnFormula>tbl_Rohdaten[[#This Row],[Description]]</calculatedColumnFormula>
    </tableColumn>
    <tableColumn id="10" xr3:uid="{430F8053-48C2-DF47-8E5D-3BF75A92E9BF}" name="Datasheet (click Name)" dataDxfId="28" totalsRowDxfId="8">
      <calculatedColumnFormula>tbl_Rohdaten[[#This Row],[Datasheet]]</calculatedColumnFormula>
    </tableColumn>
    <tableColumn id="11" xr3:uid="{BDEB8088-4BCC-444C-BAC8-AEBE5227CC8D}" name="Supplier" dataDxfId="27" totalsRowDxfId="7"/>
    <tableColumn id="12" xr3:uid="{C4C2A3A9-4946-4D44-A02E-64B2E7233D49}" name="Supplier Part Number" dataDxfId="26" totalsRowDxfId="6"/>
    <tableColumn id="13" xr3:uid="{8C9DA491-1EB9-EF41-9878-873D8AC6B832}" name="Order Link" dataDxfId="25" totalsRowDxfId="5"/>
    <tableColumn id="14" xr3:uid="{FD324812-D4FD-154B-ADA1-1991F39C450E}" name="Unit Price" dataDxfId="24" totalsRowDxfId="4"/>
    <tableColumn id="15" xr3:uid="{C7011D6C-67C1-3D42-ACC9-17D0906C7688}" name="Total Price" totalsRowFunction="custom" dataDxfId="23" totalsRowDxfId="3">
      <calculatedColumnFormula>Bestellliste[[#This Row],[Unit Price]]*Bestellliste[[#This Row],[Qty Order]]</calculatedColumnFormula>
      <totalsRowFormula>SUM(Bestellliste[Total Price])</totalsRowFormula>
    </tableColumn>
    <tableColumn id="16" xr3:uid="{7FFEFE52-9A07-A247-9530-2CBB6F5EC589}" name="Ordered?" dataDxfId="22" totalsRowDxfId="2"/>
    <tableColumn id="17" xr3:uid="{78E6AD0E-06FE-4D48-B26B-88379E5BC611}" name="Delivered?" dataDxfId="21" totalsRowDxfId="1"/>
    <tableColumn id="18" xr3:uid="{972090EB-527F-724A-9C0B-85E8D61E02E4}" name="Comment" dataDxfId="20" totalsRow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E883D6-4DA6-074B-B1A9-23CD77DA8F14}" name="tbl_Rohdaten" displayName="tbl_Rohdaten" ref="A1:H43" tableType="queryTable" totalsRowShown="0">
  <autoFilter ref="A1:H43" xr:uid="{AFE883D6-4DA6-074B-B1A9-23CD77DA8F14}"/>
  <tableColumns count="8">
    <tableColumn id="1" xr3:uid="{2561DC82-27BC-724D-80BD-D3FD25B3CCFB}" uniqueName="1" name="Reference" queryTableFieldId="1" dataDxfId="52"/>
    <tableColumn id="2" xr3:uid="{362DF68C-30A1-EF4A-B4F7-7BD492565275}" uniqueName="2" name="Qty_PCB" queryTableFieldId="2"/>
    <tableColumn id="3" xr3:uid="{4EFFF8A9-235D-2D43-985E-8D76DB5C60A3}" uniqueName="3" name="Value" queryTableFieldId="3" dataDxfId="51"/>
    <tableColumn id="4" xr3:uid="{5A1C847C-5E91-2E4D-9005-1810358B14E9}" uniqueName="4" name="Footprint" queryTableFieldId="4" dataDxfId="50"/>
    <tableColumn id="5" xr3:uid="{24EBF22A-B528-0E42-83CB-0949963D3914}" uniqueName="5" name="Datasheet" queryTableFieldId="5" dataDxfId="49"/>
    <tableColumn id="6" xr3:uid="{0C4BFA79-ABCD-E74D-ACC5-5494EA2C44F2}" uniqueName="6" name="Manufacturer" queryTableFieldId="6" dataDxfId="48"/>
    <tableColumn id="7" xr3:uid="{FC979EBA-798D-9949-9184-ED214D3698B1}" uniqueName="7" name="Part Number" queryTableFieldId="7" dataDxfId="47"/>
    <tableColumn id="8" xr3:uid="{D9DDAE4B-C759-FC42-AC60-260075954C6A}" uniqueName="8" name="Description" queryTableFieldId="8" dataDxf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236D-E1C0-5D49-B571-5BA0623E7E1E}">
  <dimension ref="A1:T52"/>
  <sheetViews>
    <sheetView tabSelected="1" zoomScale="75" workbookViewId="0">
      <selection activeCell="E51" sqref="E51"/>
    </sheetView>
  </sheetViews>
  <sheetFormatPr baseColWidth="10" defaultColWidth="0" defaultRowHeight="16" zeroHeight="1" x14ac:dyDescent="0.2"/>
  <cols>
    <col min="1" max="1" width="11.33203125" style="8" bestFit="1" customWidth="1"/>
    <col min="2" max="2" width="20" style="8" bestFit="1" customWidth="1"/>
    <col min="3" max="3" width="46.83203125" style="8" bestFit="1" customWidth="1"/>
    <col min="4" max="4" width="17.33203125" style="8" bestFit="1" customWidth="1"/>
    <col min="5" max="5" width="21.33203125" style="8" bestFit="1" customWidth="1"/>
    <col min="6" max="6" width="18.6640625" style="8" bestFit="1" customWidth="1"/>
    <col min="7" max="7" width="23" style="8" bestFit="1" customWidth="1"/>
    <col min="8" max="8" width="22.1640625" style="8" bestFit="1" customWidth="1"/>
    <col min="9" max="9" width="59" style="8" customWidth="1"/>
    <col min="10" max="10" width="17.6640625" style="8" bestFit="1" customWidth="1"/>
    <col min="11" max="11" width="91.6640625" style="8" bestFit="1" customWidth="1"/>
    <col min="12" max="12" width="34.83203125" style="13" bestFit="1" customWidth="1"/>
    <col min="13" max="13" width="17" style="8" customWidth="1"/>
    <col min="14" max="14" width="30.33203125" style="8" customWidth="1"/>
    <col min="15" max="15" width="128.1640625" style="8" bestFit="1" customWidth="1"/>
    <col min="16" max="16" width="18.83203125" style="8" bestFit="1" customWidth="1"/>
    <col min="17" max="17" width="19.6640625" style="8" bestFit="1" customWidth="1"/>
    <col min="18" max="18" width="18.33203125" style="8" bestFit="1" customWidth="1"/>
    <col min="19" max="19" width="20" style="8" bestFit="1" customWidth="1"/>
    <col min="20" max="20" width="14.5" style="8" bestFit="1" customWidth="1"/>
    <col min="21" max="16384" width="10.83203125" style="8" hidden="1"/>
  </cols>
  <sheetData>
    <row r="1" spans="1:20" s="5" customFormat="1" ht="2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5" t="s">
        <v>256</v>
      </c>
      <c r="G1" s="5" t="s">
        <v>5</v>
      </c>
      <c r="H1" s="6" t="s">
        <v>6</v>
      </c>
      <c r="I1" s="5" t="s">
        <v>17</v>
      </c>
      <c r="J1" s="5" t="s">
        <v>7</v>
      </c>
      <c r="K1" s="5" t="s">
        <v>18</v>
      </c>
      <c r="L1" s="7" t="s">
        <v>254</v>
      </c>
      <c r="M1" s="5" t="s">
        <v>10</v>
      </c>
      <c r="N1" s="15" t="s">
        <v>257</v>
      </c>
      <c r="O1" s="5" t="s">
        <v>8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</row>
    <row r="2" spans="1:20" x14ac:dyDescent="0.2">
      <c r="A2" s="14">
        <v>1</v>
      </c>
      <c r="B2" s="8" t="s">
        <v>188</v>
      </c>
      <c r="C2" s="8" t="str">
        <f>tbl_Rohdaten[[#This Row],[Reference]]</f>
        <v>BOOT1,RESET1</v>
      </c>
      <c r="D2" s="8">
        <f>tbl_Rohdaten[[#This Row],[Qty_PCB]]</f>
        <v>2</v>
      </c>
      <c r="E2">
        <f>Bestellliste[[#This Row],[Qty PCB]]*($C$50-1)</f>
        <v>2</v>
      </c>
      <c r="F2" s="8">
        <f>Bestellliste[[#This Row],[Qty PCB]]+Bestellliste[[#This Row],[Qty Reserve]]</f>
        <v>4</v>
      </c>
      <c r="G2" s="8" t="str">
        <f>tbl_Rohdaten[[#This Row],[Manufacturer]]</f>
        <v>Wurth Elektronik</v>
      </c>
      <c r="H2" s="9" t="str">
        <f>tbl_Rohdaten[[#This Row],[Part Number]]</f>
        <v>430182043816</v>
      </c>
      <c r="I2" s="8" t="str">
        <f>tbl_Rohdaten[[#This Row],[Footprint]]</f>
        <v>Switch_SMD_Wurth:SW_Wurth_WS-TASV_430182043816</v>
      </c>
      <c r="K2" s="8" t="str">
        <f>tbl_Rohdaten[[#This Row],[Description]]</f>
        <v>SMT Tact Switch 6x6 mm</v>
      </c>
      <c r="L2" s="10" t="str">
        <f>IF(tbl_Rohdaten[[#This Row],[Datasheet]]="","",HYPERLINK(tbl_Rohdaten[[#This Row],[Datasheet]],"Datasheet "&amp;Bestellliste[[#This Row],[Category]]))</f>
        <v>Datasheet Switch</v>
      </c>
      <c r="Q2" s="8">
        <f>Bestellliste[[#This Row],[Unit Price]]*Bestellliste[[#This Row],[Qty Order]]</f>
        <v>0</v>
      </c>
      <c r="R2" s="11" t="b">
        <v>0</v>
      </c>
      <c r="S2" s="11" t="b">
        <v>0</v>
      </c>
    </row>
    <row r="3" spans="1:20" x14ac:dyDescent="0.2">
      <c r="A3" s="14">
        <v>2</v>
      </c>
      <c r="B3" s="8" t="s">
        <v>222</v>
      </c>
      <c r="C3" s="8" t="str">
        <f>tbl_Rohdaten[[#This Row],[Reference]]</f>
        <v>C1,C2,C5,C9,C27,C29</v>
      </c>
      <c r="D3" s="8">
        <f>tbl_Rohdaten[[#This Row],[Qty_PCB]]</f>
        <v>6</v>
      </c>
      <c r="E3">
        <f>Bestellliste[[#This Row],[Qty PCB]]*($C$50-1)</f>
        <v>6</v>
      </c>
      <c r="F3" s="8">
        <f>Bestellliste[[#This Row],[Qty PCB]]+Bestellliste[[#This Row],[Qty Reserve]]</f>
        <v>12</v>
      </c>
      <c r="G3" s="8" t="str">
        <f>tbl_Rohdaten[[#This Row],[Manufacturer]]</f>
        <v>Wurth Elektronik</v>
      </c>
      <c r="H3" s="9" t="str">
        <f>tbl_Rohdaten[[#This Row],[Part Number]]</f>
        <v>885012208093</v>
      </c>
      <c r="I3" s="8" t="str">
        <f>tbl_Rohdaten[[#This Row],[Footprint]]</f>
        <v>Capacitor_SMD_Wurth:C_Wurth_WCAP-CSGP-1206_H1.6</v>
      </c>
      <c r="K3" s="8" t="str">
        <f>tbl_Rohdaten[[#This Row],[Description]]</f>
        <v>MLCCs 50 V(DC) ED</v>
      </c>
      <c r="L3" s="10" t="str">
        <f>IF(tbl_Rohdaten[[#This Row],[Datasheet]]="","",HYPERLINK(tbl_Rohdaten[[#This Row],[Datasheet]],"Datasheet "&amp;Bestellliste[[#This Row],[Category]]))</f>
        <v>Datasheet Capacitor</v>
      </c>
      <c r="Q3" s="8">
        <f>Bestellliste[[#This Row],[Unit Price]]*Bestellliste[[#This Row],[Qty Order]]</f>
        <v>0</v>
      </c>
      <c r="R3" s="11" t="b">
        <v>0</v>
      </c>
      <c r="S3" s="11" t="b">
        <v>0</v>
      </c>
    </row>
    <row r="4" spans="1:20" x14ac:dyDescent="0.2">
      <c r="A4" s="14">
        <v>3</v>
      </c>
      <c r="B4" s="8" t="s">
        <v>222</v>
      </c>
      <c r="C4" s="8" t="str">
        <f>tbl_Rohdaten[[#This Row],[Reference]]</f>
        <v>C3</v>
      </c>
      <c r="D4" s="8">
        <f>tbl_Rohdaten[[#This Row],[Qty_PCB]]</f>
        <v>1</v>
      </c>
      <c r="E4">
        <f>Bestellliste[[#This Row],[Qty PCB]]*($C$50-1)</f>
        <v>1</v>
      </c>
      <c r="F4" s="8">
        <f>Bestellliste[[#This Row],[Qty PCB]]+Bestellliste[[#This Row],[Qty Reserve]]</f>
        <v>2</v>
      </c>
      <c r="G4" s="8" t="str">
        <f>tbl_Rohdaten[[#This Row],[Manufacturer]]</f>
        <v>Wurth Elektronik</v>
      </c>
      <c r="H4" s="9" t="str">
        <f>tbl_Rohdaten[[#This Row],[Part Number]]</f>
        <v>885012108021</v>
      </c>
      <c r="I4" s="8" t="str">
        <f>tbl_Rohdaten[[#This Row],[Footprint]]</f>
        <v>Capacitor_SMD_Wurth:C_Wurth_WCAP-CSGP-1206_H1.6</v>
      </c>
      <c r="K4" s="8" t="str">
        <f>tbl_Rohdaten[[#This Row],[Description]]</f>
        <v>MLCCs 25 V(DC)</v>
      </c>
      <c r="L4" s="10" t="str">
        <f>IF(tbl_Rohdaten[[#This Row],[Datasheet]]="","",HYPERLINK(tbl_Rohdaten[[#This Row],[Datasheet]],"Datasheet "&amp;Bestellliste[[#This Row],[Category]]))</f>
        <v>Datasheet Capacitor</v>
      </c>
      <c r="Q4" s="8">
        <f>Bestellliste[[#This Row],[Unit Price]]*Bestellliste[[#This Row],[Qty Order]]</f>
        <v>0</v>
      </c>
      <c r="R4" s="11" t="b">
        <v>0</v>
      </c>
      <c r="S4" s="11" t="b">
        <v>0</v>
      </c>
    </row>
    <row r="5" spans="1:20" x14ac:dyDescent="0.2">
      <c r="A5" s="14">
        <v>4</v>
      </c>
      <c r="B5" s="8" t="s">
        <v>222</v>
      </c>
      <c r="C5" s="8" t="str">
        <f>tbl_Rohdaten[[#This Row],[Reference]]</f>
        <v>C4,C7,C8,C10,C13,C14,C15,C16,C21,C22,C23,C24</v>
      </c>
      <c r="D5" s="8">
        <f>tbl_Rohdaten[[#This Row],[Qty_PCB]]</f>
        <v>12</v>
      </c>
      <c r="E5">
        <f>Bestellliste[[#This Row],[Qty PCB]]*($C$50-1)</f>
        <v>12</v>
      </c>
      <c r="F5" s="8">
        <f>Bestellliste[[#This Row],[Qty PCB]]+Bestellliste[[#This Row],[Qty Reserve]]</f>
        <v>24</v>
      </c>
      <c r="G5" s="8" t="str">
        <f>tbl_Rohdaten[[#This Row],[Manufacturer]]</f>
        <v>Wurth Elektronik</v>
      </c>
      <c r="H5" s="9" t="str">
        <f>tbl_Rohdaten[[#This Row],[Part Number]]</f>
        <v>885012208118</v>
      </c>
      <c r="I5" s="8" t="str">
        <f>tbl_Rohdaten[[#This Row],[Footprint]]</f>
        <v>Capacitor_SMD_Wurth:C_Wurth_WCAP-CSGP-1206_H1.25</v>
      </c>
      <c r="K5" s="8" t="str">
        <f>tbl_Rohdaten[[#This Row],[Description]]</f>
        <v>MLCCs 100 V(DC) ED</v>
      </c>
      <c r="L5" s="10" t="str">
        <f>IF(tbl_Rohdaten[[#This Row],[Datasheet]]="","",HYPERLINK(tbl_Rohdaten[[#This Row],[Datasheet]],"Datasheet "&amp;Bestellliste[[#This Row],[Category]]))</f>
        <v>Datasheet Capacitor</v>
      </c>
      <c r="Q5" s="8">
        <f>Bestellliste[[#This Row],[Unit Price]]*Bestellliste[[#This Row],[Qty Order]]</f>
        <v>0</v>
      </c>
      <c r="R5" s="11" t="b">
        <v>0</v>
      </c>
      <c r="S5" s="11" t="b">
        <v>0</v>
      </c>
    </row>
    <row r="6" spans="1:20" x14ac:dyDescent="0.2">
      <c r="A6" s="14">
        <v>5</v>
      </c>
      <c r="B6" s="8" t="s">
        <v>222</v>
      </c>
      <c r="C6" s="8" t="str">
        <f>tbl_Rohdaten[[#This Row],[Reference]]</f>
        <v>C6</v>
      </c>
      <c r="D6" s="8">
        <f>tbl_Rohdaten[[#This Row],[Qty_PCB]]</f>
        <v>1</v>
      </c>
      <c r="E6">
        <f>Bestellliste[[#This Row],[Qty PCB]]*($C$50-1)</f>
        <v>1</v>
      </c>
      <c r="F6" s="8">
        <f>Bestellliste[[#This Row],[Qty PCB]]+Bestellliste[[#This Row],[Qty Reserve]]</f>
        <v>2</v>
      </c>
      <c r="G6" s="8" t="str">
        <f>tbl_Rohdaten[[#This Row],[Manufacturer]]</f>
        <v>Wurth Elektronik</v>
      </c>
      <c r="H6" s="9" t="str">
        <f>tbl_Rohdaten[[#This Row],[Part Number]]</f>
        <v>885012008055</v>
      </c>
      <c r="I6" s="8" t="str">
        <f>tbl_Rohdaten[[#This Row],[Footprint]]</f>
        <v>Capacitor_SMD_Wurth:C_Wurth_WCAP-CSGP-1206_H1.25</v>
      </c>
      <c r="K6" s="8" t="str">
        <f>tbl_Rohdaten[[#This Row],[Description]]</f>
        <v>MLCCs 50 V(DC) ED</v>
      </c>
      <c r="L6" s="10" t="str">
        <f>IF(tbl_Rohdaten[[#This Row],[Datasheet]]="","",HYPERLINK(tbl_Rohdaten[[#This Row],[Datasheet]],"Datasheet "&amp;Bestellliste[[#This Row],[Category]]))</f>
        <v>Datasheet Capacitor</v>
      </c>
      <c r="Q6" s="8">
        <f>Bestellliste[[#This Row],[Unit Price]]*Bestellliste[[#This Row],[Qty Order]]</f>
        <v>0</v>
      </c>
      <c r="R6" s="11" t="b">
        <v>0</v>
      </c>
      <c r="S6" s="11" t="b">
        <v>0</v>
      </c>
    </row>
    <row r="7" spans="1:20" x14ac:dyDescent="0.2">
      <c r="A7" s="14">
        <v>6</v>
      </c>
      <c r="B7" s="8" t="s">
        <v>222</v>
      </c>
      <c r="C7" s="8" t="str">
        <f>tbl_Rohdaten[[#This Row],[Reference]]</f>
        <v>C11,C12,C19,C20</v>
      </c>
      <c r="D7" s="8">
        <f>tbl_Rohdaten[[#This Row],[Qty_PCB]]</f>
        <v>4</v>
      </c>
      <c r="E7">
        <f>Bestellliste[[#This Row],[Qty PCB]]*($C$50-1)</f>
        <v>4</v>
      </c>
      <c r="F7" s="8">
        <f>Bestellliste[[#This Row],[Qty PCB]]+Bestellliste[[#This Row],[Qty Reserve]]</f>
        <v>8</v>
      </c>
      <c r="G7" s="8" t="str">
        <f>tbl_Rohdaten[[#This Row],[Manufacturer]]</f>
        <v>Wurth Elektronik</v>
      </c>
      <c r="H7" s="9" t="str">
        <f>tbl_Rohdaten[[#This Row],[Part Number]]</f>
        <v>885012208083</v>
      </c>
      <c r="I7" s="8" t="str">
        <f>tbl_Rohdaten[[#This Row],[Footprint]]</f>
        <v>Capacitor_SMD_Wurth:C_Wurth_WCAP-CSGP-1206_H0.8</v>
      </c>
      <c r="K7" s="8" t="str">
        <f>tbl_Rohdaten[[#This Row],[Description]]</f>
        <v>MLCCs 50 V(DC) ED</v>
      </c>
      <c r="L7" s="10" t="str">
        <f>IF(tbl_Rohdaten[[#This Row],[Datasheet]]="","",HYPERLINK(tbl_Rohdaten[[#This Row],[Datasheet]],"Datasheet "&amp;Bestellliste[[#This Row],[Category]]))</f>
        <v>Datasheet Capacitor</v>
      </c>
      <c r="Q7" s="8">
        <f>Bestellliste[[#This Row],[Unit Price]]*Bestellliste[[#This Row],[Qty Order]]</f>
        <v>0</v>
      </c>
      <c r="R7" s="11" t="b">
        <v>0</v>
      </c>
      <c r="S7" s="11" t="b">
        <v>0</v>
      </c>
    </row>
    <row r="8" spans="1:20" x14ac:dyDescent="0.2">
      <c r="A8" s="14">
        <v>7</v>
      </c>
      <c r="B8" s="8" t="s">
        <v>222</v>
      </c>
      <c r="C8" s="8" t="str">
        <f>tbl_Rohdaten[[#This Row],[Reference]]</f>
        <v>C17,C18,C25,C26</v>
      </c>
      <c r="D8" s="8">
        <f>tbl_Rohdaten[[#This Row],[Qty_PCB]]</f>
        <v>4</v>
      </c>
      <c r="E8">
        <f>Bestellliste[[#This Row],[Qty PCB]]*($C$50-1)</f>
        <v>4</v>
      </c>
      <c r="F8" s="8">
        <f>Bestellliste[[#This Row],[Qty PCB]]+Bestellliste[[#This Row],[Qty Reserve]]</f>
        <v>8</v>
      </c>
      <c r="G8" s="8" t="str">
        <f>tbl_Rohdaten[[#This Row],[Manufacturer]]</f>
        <v>Wurth Elektronik</v>
      </c>
      <c r="H8" s="9" t="str">
        <f>tbl_Rohdaten[[#This Row],[Part Number]]</f>
        <v>885012109011</v>
      </c>
      <c r="I8" s="8" t="str">
        <f>tbl_Rohdaten[[#This Row],[Footprint]]</f>
        <v>Capacitor_SMD_Wurth:C_Wurth_WCAP-CSGP-1210_H2.5</v>
      </c>
      <c r="K8" s="8" t="str">
        <f>tbl_Rohdaten[[#This Row],[Description]]</f>
        <v>MLCCs 16 V(DC) ED</v>
      </c>
      <c r="L8" s="10" t="str">
        <f>IF(tbl_Rohdaten[[#This Row],[Datasheet]]="","",HYPERLINK(tbl_Rohdaten[[#This Row],[Datasheet]],"Datasheet "&amp;Bestellliste[[#This Row],[Category]]))</f>
        <v>Datasheet Capacitor</v>
      </c>
      <c r="Q8" s="8">
        <f>Bestellliste[[#This Row],[Unit Price]]*Bestellliste[[#This Row],[Qty Order]]</f>
        <v>0</v>
      </c>
      <c r="R8" s="11" t="b">
        <v>0</v>
      </c>
      <c r="S8" s="11" t="b">
        <v>0</v>
      </c>
    </row>
    <row r="9" spans="1:20" x14ac:dyDescent="0.2">
      <c r="A9" s="14">
        <v>8</v>
      </c>
      <c r="B9" s="8" t="s">
        <v>222</v>
      </c>
      <c r="C9" s="8" t="str">
        <f>tbl_Rohdaten[[#This Row],[Reference]]</f>
        <v>C28</v>
      </c>
      <c r="D9" s="8">
        <f>tbl_Rohdaten[[#This Row],[Qty_PCB]]</f>
        <v>1</v>
      </c>
      <c r="E9">
        <f>Bestellliste[[#This Row],[Qty PCB]]*($C$50-1)</f>
        <v>1</v>
      </c>
      <c r="F9" s="8">
        <f>Bestellliste[[#This Row],[Qty PCB]]+Bestellliste[[#This Row],[Qty Reserve]]</f>
        <v>2</v>
      </c>
      <c r="G9" s="8" t="str">
        <f>tbl_Rohdaten[[#This Row],[Manufacturer]]</f>
        <v>Wurth Elektronik</v>
      </c>
      <c r="H9" s="9" t="str">
        <f>tbl_Rohdaten[[#This Row],[Part Number]]</f>
        <v>885012008001</v>
      </c>
      <c r="I9" s="8" t="str">
        <f>tbl_Rohdaten[[#This Row],[Footprint]]</f>
        <v>Capacitor_SMD_Wurth:C_Wurth_WCAP-CSGP-1206_H0.8</v>
      </c>
      <c r="K9" s="8" t="str">
        <f>tbl_Rohdaten[[#This Row],[Description]]</f>
        <v>MLCCs 10 V(DC) ED</v>
      </c>
      <c r="L9" s="10" t="str">
        <f>IF(tbl_Rohdaten[[#This Row],[Datasheet]]="","",HYPERLINK(tbl_Rohdaten[[#This Row],[Datasheet]],"Datasheet "&amp;Bestellliste[[#This Row],[Category]]))</f>
        <v>Datasheet Capacitor</v>
      </c>
      <c r="Q9" s="8">
        <f>Bestellliste[[#This Row],[Unit Price]]*Bestellliste[[#This Row],[Qty Order]]</f>
        <v>0</v>
      </c>
      <c r="R9" s="11" t="b">
        <v>0</v>
      </c>
      <c r="S9" s="11" t="b">
        <v>0</v>
      </c>
    </row>
    <row r="10" spans="1:20" x14ac:dyDescent="0.2">
      <c r="A10" s="14">
        <v>9</v>
      </c>
      <c r="B10" s="8" t="s">
        <v>222</v>
      </c>
      <c r="C10" s="8" t="str">
        <f>tbl_Rohdaten[[#This Row],[Reference]]</f>
        <v>C30</v>
      </c>
      <c r="D10" s="8">
        <f>tbl_Rohdaten[[#This Row],[Qty_PCB]]</f>
        <v>1</v>
      </c>
      <c r="E10">
        <f>Bestellliste[[#This Row],[Qty PCB]]*($C$50-1)</f>
        <v>1</v>
      </c>
      <c r="F10" s="8">
        <f>Bestellliste[[#This Row],[Qty PCB]]+Bestellliste[[#This Row],[Qty Reserve]]</f>
        <v>2</v>
      </c>
      <c r="G10" s="8" t="str">
        <f>tbl_Rohdaten[[#This Row],[Manufacturer]]</f>
        <v>Wurth Elektronik</v>
      </c>
      <c r="H10" s="9" t="str">
        <f>tbl_Rohdaten[[#This Row],[Part Number]]</f>
        <v>885342008003</v>
      </c>
      <c r="I10" s="8" t="str">
        <f>tbl_Rohdaten[[#This Row],[Footprint]]</f>
        <v>Capacitor_SMD_Wurth:C_Wurth_WCAP-CSMH-1206_H1.6</v>
      </c>
      <c r="K10" s="8" t="str">
        <f>tbl_Rohdaten[[#This Row],[Description]]</f>
        <v>MLCCS Mid and High Voltage</v>
      </c>
      <c r="L10" s="10" t="str">
        <f>IF(tbl_Rohdaten[[#This Row],[Datasheet]]="","",HYPERLINK(tbl_Rohdaten[[#This Row],[Datasheet]],"Datasheet "&amp;Bestellliste[[#This Row],[Category]]))</f>
        <v>Datasheet Capacitor</v>
      </c>
      <c r="Q10" s="8">
        <f>Bestellliste[[#This Row],[Unit Price]]*Bestellliste[[#This Row],[Qty Order]]</f>
        <v>0</v>
      </c>
      <c r="R10" s="11" t="b">
        <v>0</v>
      </c>
      <c r="S10" s="11" t="b">
        <v>0</v>
      </c>
    </row>
    <row r="11" spans="1:20" x14ac:dyDescent="0.2">
      <c r="A11" s="14">
        <v>10</v>
      </c>
      <c r="B11" s="8" t="s">
        <v>222</v>
      </c>
      <c r="C11" s="8" t="str">
        <f>tbl_Rohdaten[[#This Row],[Reference]]</f>
        <v>C31</v>
      </c>
      <c r="D11" s="8">
        <f>tbl_Rohdaten[[#This Row],[Qty_PCB]]</f>
        <v>1</v>
      </c>
      <c r="E11">
        <f>Bestellliste[[#This Row],[Qty PCB]]*($C$50-1)</f>
        <v>1</v>
      </c>
      <c r="F11" s="8">
        <f>Bestellliste[[#This Row],[Qty PCB]]+Bestellliste[[#This Row],[Qty Reserve]]</f>
        <v>2</v>
      </c>
      <c r="G11" s="8" t="str">
        <f>tbl_Rohdaten[[#This Row],[Manufacturer]]</f>
        <v>Wurth Elektronik</v>
      </c>
      <c r="H11" s="9" t="str">
        <f>tbl_Rohdaten[[#This Row],[Part Number]]</f>
        <v>885012108003</v>
      </c>
      <c r="I11" s="8" t="str">
        <f>tbl_Rohdaten[[#This Row],[Footprint]]</f>
        <v>Capacitor_SMD_Wurth:C_Wurth_WCAP-CSGP-1206_H1.6</v>
      </c>
      <c r="K11" s="8" t="str">
        <f>tbl_Rohdaten[[#This Row],[Description]]</f>
        <v>MLCCs 6.3 V(DC) ED</v>
      </c>
      <c r="L11" s="10" t="str">
        <f>IF(tbl_Rohdaten[[#This Row],[Datasheet]]="","",HYPERLINK(tbl_Rohdaten[[#This Row],[Datasheet]],"Datasheet "&amp;Bestellliste[[#This Row],[Category]]))</f>
        <v>Datasheet Capacitor</v>
      </c>
      <c r="Q11" s="8">
        <f>Bestellliste[[#This Row],[Unit Price]]*Bestellliste[[#This Row],[Qty Order]]</f>
        <v>0</v>
      </c>
      <c r="R11" s="11" t="b">
        <v>0</v>
      </c>
      <c r="S11" s="11" t="b">
        <v>0</v>
      </c>
    </row>
    <row r="12" spans="1:20" x14ac:dyDescent="0.2">
      <c r="A12" s="14">
        <v>11</v>
      </c>
      <c r="B12" s="8" t="s">
        <v>222</v>
      </c>
      <c r="C12" s="8" t="str">
        <f>tbl_Rohdaten[[#This Row],[Reference]]</f>
        <v>C32,C33</v>
      </c>
      <c r="D12" s="8">
        <f>tbl_Rohdaten[[#This Row],[Qty_PCB]]</f>
        <v>2</v>
      </c>
      <c r="E12">
        <f>Bestellliste[[#This Row],[Qty PCB]]*($C$50-1)</f>
        <v>2</v>
      </c>
      <c r="F12" s="8">
        <f>Bestellliste[[#This Row],[Qty PCB]]+Bestellliste[[#This Row],[Qty Reserve]]</f>
        <v>4</v>
      </c>
      <c r="G12" s="8" t="str">
        <f>tbl_Rohdaten[[#This Row],[Manufacturer]]</f>
        <v>Wurth Elektronik</v>
      </c>
      <c r="H12" s="9" t="str">
        <f>tbl_Rohdaten[[#This Row],[Part Number]]</f>
        <v>885012006002</v>
      </c>
      <c r="I12" s="8" t="str">
        <f>tbl_Rohdaten[[#This Row],[Footprint]]</f>
        <v>Capacitor_SMD_Wurth:C_Wurth_WCAP-CSGP-0603_R</v>
      </c>
      <c r="K12" s="8" t="str">
        <f>tbl_Rohdaten[[#This Row],[Description]]</f>
        <v>MLCCs 10 V(DC) ED</v>
      </c>
      <c r="L12" s="10" t="str">
        <f>IF(tbl_Rohdaten[[#This Row],[Datasheet]]="","",HYPERLINK(tbl_Rohdaten[[#This Row],[Datasheet]],"Datasheet "&amp;Bestellliste[[#This Row],[Category]]))</f>
        <v>Datasheet Capacitor</v>
      </c>
      <c r="Q12" s="8">
        <f>Bestellliste[[#This Row],[Unit Price]]*Bestellliste[[#This Row],[Qty Order]]</f>
        <v>0</v>
      </c>
      <c r="R12" s="11" t="b">
        <v>0</v>
      </c>
      <c r="S12" s="11" t="b">
        <v>0</v>
      </c>
    </row>
    <row r="13" spans="1:20" x14ac:dyDescent="0.2">
      <c r="A13" s="14">
        <v>12</v>
      </c>
      <c r="B13" s="8" t="s">
        <v>224</v>
      </c>
      <c r="C13" s="8" t="str">
        <f>tbl_Rohdaten[[#This Row],[Reference]]</f>
        <v>EMA1,EMB1,EMC1,EMD1</v>
      </c>
      <c r="D13" s="8">
        <f>tbl_Rohdaten[[#This Row],[Qty_PCB]]</f>
        <v>4</v>
      </c>
      <c r="E13">
        <f>Bestellliste[[#This Row],[Qty PCB]]*($C$50-1)</f>
        <v>4</v>
      </c>
      <c r="F13" s="8">
        <f>Bestellliste[[#This Row],[Qty PCB]]+Bestellliste[[#This Row],[Qty Reserve]]</f>
        <v>8</v>
      </c>
      <c r="G13" s="8" t="s">
        <v>84</v>
      </c>
      <c r="H13" s="9" t="s">
        <v>68</v>
      </c>
      <c r="I13" s="8" t="str">
        <f>tbl_Rohdaten[[#This Row],[Footprint]]</f>
        <v>DRV8874PWPR:SOP65P640X120-17N</v>
      </c>
      <c r="K13" s="8" t="str">
        <f>tbl_Rohdaten[[#This Row],[Description]]</f>
        <v>40-V, 6-A H-bridge motor driver with integrated current sensing feedback</v>
      </c>
      <c r="L13" s="10" t="str">
        <f>IF(tbl_Rohdaten[[#This Row],[Datasheet]]="","",HYPERLINK(tbl_Rohdaten[[#This Row],[Datasheet]],"Datasheet "&amp;Bestellliste[[#This Row],[Category]]))</f>
        <v/>
      </c>
      <c r="Q13" s="8">
        <f>Bestellliste[[#This Row],[Unit Price]]*Bestellliste[[#This Row],[Qty Order]]</f>
        <v>0</v>
      </c>
      <c r="R13" s="11" t="b">
        <v>0</v>
      </c>
      <c r="S13" s="11" t="b">
        <v>0</v>
      </c>
    </row>
    <row r="14" spans="1:20" x14ac:dyDescent="0.2">
      <c r="A14" s="14">
        <v>13</v>
      </c>
      <c r="B14" s="8" t="s">
        <v>225</v>
      </c>
      <c r="C14" s="8" t="str">
        <f>tbl_Rohdaten[[#This Row],[Reference]]</f>
        <v>FB1</v>
      </c>
      <c r="D14" s="8">
        <f>tbl_Rohdaten[[#This Row],[Qty_PCB]]</f>
        <v>1</v>
      </c>
      <c r="E14">
        <f>Bestellliste[[#This Row],[Qty PCB]]*($C$50-1)</f>
        <v>1</v>
      </c>
      <c r="F14" s="8">
        <f>Bestellliste[[#This Row],[Qty PCB]]+Bestellliste[[#This Row],[Qty Reserve]]</f>
        <v>2</v>
      </c>
      <c r="G14" s="8" t="str">
        <f>tbl_Rohdaten[[#This Row],[Manufacturer]]</f>
        <v>Wurth Elektronik</v>
      </c>
      <c r="H14" s="9" t="str">
        <f>tbl_Rohdaten[[#This Row],[Part Number]]</f>
        <v>742792641</v>
      </c>
      <c r="I14" s="8" t="str">
        <f>tbl_Rohdaten[[#This Row],[Footprint]]</f>
        <v>Ferrite_SMD_Wurth:FB_Wurth_WE-CBF-0603_W2.6</v>
      </c>
      <c r="K14" s="8" t="str">
        <f>tbl_Rohdaten[[#This Row],[Description]]</f>
        <v>EMI Suppression Ferrite Bead, Multi-purpose Ferrite</v>
      </c>
      <c r="L14" s="10" t="str">
        <f>IF(tbl_Rohdaten[[#This Row],[Datasheet]]="","",HYPERLINK(tbl_Rohdaten[[#This Row],[Datasheet]],"Datasheet "&amp;Bestellliste[[#This Row],[Category]]))</f>
        <v>Datasheet Ferrite Bead</v>
      </c>
      <c r="Q14" s="8">
        <f>Bestellliste[[#This Row],[Unit Price]]*Bestellliste[[#This Row],[Qty Order]]</f>
        <v>0</v>
      </c>
      <c r="R14" s="11" t="b">
        <v>0</v>
      </c>
      <c r="S14" s="11" t="b">
        <v>0</v>
      </c>
    </row>
    <row r="15" spans="1:20" x14ac:dyDescent="0.2">
      <c r="A15" s="14">
        <v>14</v>
      </c>
      <c r="B15" s="8" t="s">
        <v>226</v>
      </c>
      <c r="C15" s="8" t="str">
        <f>tbl_Rohdaten[[#This Row],[Reference]]</f>
        <v>I2C1</v>
      </c>
      <c r="D15" s="8">
        <f>tbl_Rohdaten[[#This Row],[Qty_PCB]]</f>
        <v>1</v>
      </c>
      <c r="E15">
        <f>Bestellliste[[#This Row],[Qty PCB]]*($C$50-1)</f>
        <v>1</v>
      </c>
      <c r="F15" s="8">
        <f>Bestellliste[[#This Row],[Qty PCB]]+Bestellliste[[#This Row],[Qty Reserve]]</f>
        <v>2</v>
      </c>
      <c r="G15" s="8" t="str">
        <f>tbl_Rohdaten[[#This Row],[Manufacturer]]</f>
        <v>Wurth Elektronik</v>
      </c>
      <c r="H15" s="9">
        <v>61300311121</v>
      </c>
      <c r="I15" s="8" t="str">
        <f>tbl_Rohdaten[[#This Row],[Footprint]]</f>
        <v>Connector_THT_Wurth:J_Wurth_WR-PHD_61300311121</v>
      </c>
      <c r="K15" s="8" t="str">
        <f>tbl_Rohdaten[[#This Row],[Description]]</f>
        <v>2.54 mm THT Pin Header</v>
      </c>
      <c r="L15" s="10" t="str">
        <f>IF(tbl_Rohdaten[[#This Row],[Datasheet]]="","",HYPERLINK(tbl_Rohdaten[[#This Row],[Datasheet]],"Datasheet "&amp;Bestellliste[[#This Row],[Category]]))</f>
        <v>Datasheet Connector</v>
      </c>
      <c r="Q15" s="8">
        <f>Bestellliste[[#This Row],[Unit Price]]*Bestellliste[[#This Row],[Qty Order]]</f>
        <v>0</v>
      </c>
      <c r="R15" s="11" t="b">
        <v>0</v>
      </c>
      <c r="S15" s="11" t="b">
        <v>0</v>
      </c>
    </row>
    <row r="16" spans="1:20" x14ac:dyDescent="0.2">
      <c r="A16" s="14">
        <v>15</v>
      </c>
      <c r="B16" s="8" t="s">
        <v>227</v>
      </c>
      <c r="C16" s="8" t="str">
        <f>tbl_Rohdaten[[#This Row],[Reference]]</f>
        <v>IC1</v>
      </c>
      <c r="D16" s="8">
        <f>tbl_Rohdaten[[#This Row],[Qty_PCB]]</f>
        <v>1</v>
      </c>
      <c r="E16">
        <f>Bestellliste[[#This Row],[Qty PCB]]*($C$50-1)</f>
        <v>1</v>
      </c>
      <c r="F16" s="8">
        <f>Bestellliste[[#This Row],[Qty PCB]]+Bestellliste[[#This Row],[Qty Reserve]]</f>
        <v>2</v>
      </c>
      <c r="G16" s="8" t="s">
        <v>84</v>
      </c>
      <c r="H16" s="9" t="s">
        <v>259</v>
      </c>
      <c r="I16" s="8" t="str">
        <f>tbl_Rohdaten[[#This Row],[Footprint]]</f>
        <v>SOT230P700X180-4N:SOT230P700X180-4N</v>
      </c>
      <c r="K16" s="8" t="str">
        <f>tbl_Rohdaten[[#This Row],[Description]]</f>
        <v>1-A, Positive Fixed Voltage, Low-Dropout Regulator</v>
      </c>
      <c r="L16" s="10" t="str">
        <f>IF(tbl_Rohdaten[[#This Row],[Datasheet]]="","",HYPERLINK(tbl_Rohdaten[[#This Row],[Datasheet]],"Datasheet "&amp;Bestellliste[[#This Row],[Category]]))</f>
        <v>Datasheet LDO Voltage Regulator</v>
      </c>
      <c r="Q16" s="8">
        <f>Bestellliste[[#This Row],[Unit Price]]*Bestellliste[[#This Row],[Qty Order]]</f>
        <v>0</v>
      </c>
      <c r="R16" s="11" t="b">
        <v>0</v>
      </c>
      <c r="S16" s="11" t="b">
        <v>0</v>
      </c>
    </row>
    <row r="17" spans="1:19" x14ac:dyDescent="0.2">
      <c r="A17" s="14">
        <v>16</v>
      </c>
      <c r="B17" s="8" t="s">
        <v>228</v>
      </c>
      <c r="C17" s="8" t="str">
        <f>tbl_Rohdaten[[#This Row],[Reference]]</f>
        <v>J1</v>
      </c>
      <c r="D17" s="8">
        <f>tbl_Rohdaten[[#This Row],[Qty_PCB]]</f>
        <v>1</v>
      </c>
      <c r="E17">
        <f>Bestellliste[[#This Row],[Qty PCB]]*($C$50-1)</f>
        <v>1</v>
      </c>
      <c r="F17" s="8">
        <f>Bestellliste[[#This Row],[Qty PCB]]+Bestellliste[[#This Row],[Qty Reserve]]</f>
        <v>2</v>
      </c>
      <c r="G17" s="8" t="s">
        <v>22</v>
      </c>
      <c r="H17" s="9">
        <v>629722000214</v>
      </c>
      <c r="I17" s="8" t="str">
        <f>tbl_Rohdaten[[#This Row],[Footprint]]</f>
        <v>WURTH_USB:629722000214_CUSTOM</v>
      </c>
      <c r="K17" s="8" t="str">
        <f>tbl_Rohdaten[[#This Row],[Description]]</f>
        <v>USB CONN, 2.0 TYPE C, R/A RCPT, 16P, SMT;</v>
      </c>
      <c r="L17" s="10" t="str">
        <f>IF(tbl_Rohdaten[[#This Row],[Datasheet]]="","",HYPERLINK(tbl_Rohdaten[[#This Row],[Datasheet]],"Datasheet "&amp;Bestellliste[[#This Row],[Category]]))</f>
        <v/>
      </c>
      <c r="Q17" s="8">
        <f>Bestellliste[[#This Row],[Unit Price]]*Bestellliste[[#This Row],[Qty Order]]</f>
        <v>0</v>
      </c>
      <c r="R17" s="11" t="b">
        <v>0</v>
      </c>
      <c r="S17" s="11" t="b">
        <v>0</v>
      </c>
    </row>
    <row r="18" spans="1:19" x14ac:dyDescent="0.2">
      <c r="A18" s="14">
        <v>17</v>
      </c>
      <c r="B18" s="8" t="s">
        <v>229</v>
      </c>
      <c r="C18" s="8" t="str">
        <f>tbl_Rohdaten[[#This Row],[Reference]]</f>
        <v>J2</v>
      </c>
      <c r="D18" s="8">
        <f>tbl_Rohdaten[[#This Row],[Qty_PCB]]</f>
        <v>1</v>
      </c>
      <c r="E18">
        <f>Bestellliste[[#This Row],[Qty PCB]]*($C$50-1)</f>
        <v>1</v>
      </c>
      <c r="F18" s="8">
        <f>Bestellliste[[#This Row],[Qty PCB]]+Bestellliste[[#This Row],[Qty Reserve]]</f>
        <v>2</v>
      </c>
      <c r="G18" s="8" t="s">
        <v>22</v>
      </c>
      <c r="H18" s="9">
        <v>691103110002</v>
      </c>
      <c r="I18" s="8" t="str">
        <f>tbl_Rohdaten[[#This Row],[Footprint]]</f>
        <v>691103110002:691103110002</v>
      </c>
      <c r="K18" s="8" t="str">
        <f>tbl_Rohdaten[[#This Row],[Description]]</f>
        <v>Serie 1031 - 3,50mm pitch - Modular THT - Blue - Horizontal cable entry Wire Protector 8.4mm height - 02p</v>
      </c>
      <c r="L18" s="19" t="str">
        <f>HYPERLINK("https://www.we-online.com/components/products/datasheet/691103110002.pdf?srsltid=AfmBOoqBUlx62x5Oi7qIgzW3MZHTmrssbAL-SncHrKH-krA-LLP9qwS1","Datasheet "&amp;Bestellliste[[#This Row],[Category]])</f>
        <v>Datasheet Terminal Block</v>
      </c>
      <c r="Q18" s="8">
        <f>Bestellliste[[#This Row],[Unit Price]]*Bestellliste[[#This Row],[Qty Order]]</f>
        <v>0</v>
      </c>
      <c r="R18" s="11" t="b">
        <v>0</v>
      </c>
      <c r="S18" s="11" t="b">
        <v>0</v>
      </c>
    </row>
    <row r="19" spans="1:19" x14ac:dyDescent="0.2">
      <c r="A19" s="14">
        <v>18</v>
      </c>
      <c r="B19" s="8" t="s">
        <v>226</v>
      </c>
      <c r="C19" s="8" t="str">
        <f>tbl_Rohdaten[[#This Row],[Reference]]</f>
        <v>J3,J6</v>
      </c>
      <c r="D19" s="8">
        <f>tbl_Rohdaten[[#This Row],[Qty_PCB]]</f>
        <v>2</v>
      </c>
      <c r="E19">
        <f>Bestellliste[[#This Row],[Qty PCB]]*($C$50-1)</f>
        <v>2</v>
      </c>
      <c r="F19" s="8">
        <f>Bestellliste[[#This Row],[Qty PCB]]+Bestellliste[[#This Row],[Qty Reserve]]</f>
        <v>4</v>
      </c>
      <c r="G19" s="8" t="str">
        <f>tbl_Rohdaten[[#This Row],[Manufacturer]]</f>
        <v>Wurth Elektronik</v>
      </c>
      <c r="H19" s="9" t="str">
        <f>tbl_Rohdaten[[#This Row],[Part Number]]</f>
        <v/>
      </c>
      <c r="I19" s="8" t="str">
        <f>tbl_Rohdaten[[#This Row],[Footprint]]</f>
        <v>Connector_THT_Wurth:J_Wurth_WR-PHD_61300621121</v>
      </c>
      <c r="K19" s="8" t="str">
        <f>tbl_Rohdaten[[#This Row],[Description]]</f>
        <v>2.54 mm THT Dual Pin Header</v>
      </c>
      <c r="L19" s="10" t="str">
        <f>IF(tbl_Rohdaten[[#This Row],[Datasheet]]="","",HYPERLINK(tbl_Rohdaten[[#This Row],[Datasheet]],"Datasheet "&amp;Bestellliste[[#This Row],[Category]]))</f>
        <v>Datasheet Connector</v>
      </c>
      <c r="Q19" s="8">
        <f>Bestellliste[[#This Row],[Unit Price]]*Bestellliste[[#This Row],[Qty Order]]</f>
        <v>0</v>
      </c>
      <c r="R19" s="11" t="b">
        <v>0</v>
      </c>
      <c r="S19" s="11" t="b">
        <v>0</v>
      </c>
    </row>
    <row r="20" spans="1:19" x14ac:dyDescent="0.2">
      <c r="A20" s="14">
        <v>19</v>
      </c>
      <c r="B20" s="8" t="s">
        <v>226</v>
      </c>
      <c r="C20" s="8" t="str">
        <f>tbl_Rohdaten[[#This Row],[Reference]]</f>
        <v>J4</v>
      </c>
      <c r="D20" s="8">
        <f>tbl_Rohdaten[[#This Row],[Qty_PCB]]</f>
        <v>1</v>
      </c>
      <c r="E20">
        <f>Bestellliste[[#This Row],[Qty PCB]]*($C$50-1)</f>
        <v>1</v>
      </c>
      <c r="F20" s="8">
        <f>Bestellliste[[#This Row],[Qty PCB]]+Bestellliste[[#This Row],[Qty Reserve]]</f>
        <v>2</v>
      </c>
      <c r="G20" s="8" t="str">
        <f>tbl_Rohdaten[[#This Row],[Manufacturer]]</f>
        <v>Wurth Elektronik</v>
      </c>
      <c r="H20" s="9" t="str">
        <f>tbl_Rohdaten[[#This Row],[Part Number]]</f>
        <v/>
      </c>
      <c r="I20" s="8" t="str">
        <f>tbl_Rohdaten[[#This Row],[Footprint]]</f>
        <v>Connector_THT_Wurth:J_Wurth_WR-PHD_61300821121</v>
      </c>
      <c r="K20" s="8" t="str">
        <f>tbl_Rohdaten[[#This Row],[Description]]</f>
        <v>2.54 mm THT Dual Pin Header</v>
      </c>
      <c r="L20" s="10" t="str">
        <f>IF(tbl_Rohdaten[[#This Row],[Datasheet]]="","",HYPERLINK(tbl_Rohdaten[[#This Row],[Datasheet]],"Datasheet "&amp;Bestellliste[[#This Row],[Category]]))</f>
        <v>Datasheet Connector</v>
      </c>
      <c r="Q20" s="8">
        <f>Bestellliste[[#This Row],[Unit Price]]*Bestellliste[[#This Row],[Qty Order]]</f>
        <v>0</v>
      </c>
      <c r="R20" s="11" t="b">
        <v>0</v>
      </c>
      <c r="S20" s="11" t="b">
        <v>0</v>
      </c>
    </row>
    <row r="21" spans="1:19" x14ac:dyDescent="0.2">
      <c r="A21" s="14">
        <v>20</v>
      </c>
      <c r="B21" s="8" t="s">
        <v>226</v>
      </c>
      <c r="C21" s="8" t="str">
        <f>tbl_Rohdaten[[#This Row],[Reference]]</f>
        <v>J7,J8</v>
      </c>
      <c r="D21" s="8">
        <f>tbl_Rohdaten[[#This Row],[Qty_PCB]]</f>
        <v>2</v>
      </c>
      <c r="E21">
        <f>Bestellliste[[#This Row],[Qty PCB]]*($C$50-1)</f>
        <v>2</v>
      </c>
      <c r="F21" s="8">
        <f>Bestellliste[[#This Row],[Qty PCB]]+Bestellliste[[#This Row],[Qty Reserve]]</f>
        <v>4</v>
      </c>
      <c r="G21" s="8" t="str">
        <f>tbl_Rohdaten[[#This Row],[Manufacturer]]</f>
        <v>Wurth Elektronik</v>
      </c>
      <c r="H21" s="9" t="str">
        <f>tbl_Rohdaten[[#This Row],[Part Number]]</f>
        <v/>
      </c>
      <c r="I21" s="8" t="str">
        <f>tbl_Rohdaten[[#This Row],[Footprint]]</f>
        <v>Connector_THT_Wurth:J_Wurth_WR-MM_690367191672</v>
      </c>
      <c r="K21" s="8" t="str">
        <f>tbl_Rohdaten[[#This Row],[Description]]</f>
        <v>Female Connector with Latch &amp; w/o Polarization</v>
      </c>
      <c r="L21" s="10" t="str">
        <f>IF(tbl_Rohdaten[[#This Row],[Datasheet]]="","",HYPERLINK(tbl_Rohdaten[[#This Row],[Datasheet]],"Datasheet "&amp;Bestellliste[[#This Row],[Category]]))</f>
        <v>Datasheet Connector</v>
      </c>
      <c r="Q21" s="8">
        <f>Bestellliste[[#This Row],[Unit Price]]*Bestellliste[[#This Row],[Qty Order]]</f>
        <v>0</v>
      </c>
      <c r="R21" s="11" t="b">
        <v>0</v>
      </c>
      <c r="S21" s="11" t="b">
        <v>0</v>
      </c>
    </row>
    <row r="22" spans="1:19" x14ac:dyDescent="0.2">
      <c r="A22" s="14">
        <v>21</v>
      </c>
      <c r="B22" s="8" t="s">
        <v>226</v>
      </c>
      <c r="C22" s="8" t="str">
        <f>tbl_Rohdaten[[#This Row],[Reference]]</f>
        <v>J11,J12</v>
      </c>
      <c r="D22" s="8">
        <f>tbl_Rohdaten[[#This Row],[Qty_PCB]]</f>
        <v>2</v>
      </c>
      <c r="E22">
        <f>Bestellliste[[#This Row],[Qty PCB]]*($C$50-1)</f>
        <v>2</v>
      </c>
      <c r="F22" s="8">
        <f>Bestellliste[[#This Row],[Qty PCB]]+Bestellliste[[#This Row],[Qty Reserve]]</f>
        <v>4</v>
      </c>
      <c r="G22" s="8" t="str">
        <f>tbl_Rohdaten[[#This Row],[Manufacturer]]</f>
        <v>Wurth Elektronik</v>
      </c>
      <c r="H22" s="9" t="str">
        <f>tbl_Rohdaten[[#This Row],[Part Number]]</f>
        <v/>
      </c>
      <c r="I22" s="8" t="str">
        <f>tbl_Rohdaten[[#This Row],[Footprint]]</f>
        <v>Connector_THT_Wurth:J_Wurth_WR-MM_690367190672</v>
      </c>
      <c r="K22" s="8" t="str">
        <f>tbl_Rohdaten[[#This Row],[Description]]</f>
        <v>Female Connector with Latch &amp; w/o Polarization</v>
      </c>
      <c r="L22" s="10" t="str">
        <f>IF(tbl_Rohdaten[[#This Row],[Datasheet]]="","",HYPERLINK(tbl_Rohdaten[[#This Row],[Datasheet]],"Datasheet "&amp;Bestellliste[[#This Row],[Category]]))</f>
        <v>Datasheet Connector</v>
      </c>
      <c r="Q22" s="8">
        <f>Bestellliste[[#This Row],[Unit Price]]*Bestellliste[[#This Row],[Qty Order]]</f>
        <v>0</v>
      </c>
      <c r="R22" s="11" t="b">
        <v>0</v>
      </c>
      <c r="S22" s="11" t="b">
        <v>0</v>
      </c>
    </row>
    <row r="23" spans="1:19" x14ac:dyDescent="0.2">
      <c r="A23" s="14">
        <v>22</v>
      </c>
      <c r="B23" s="8" t="s">
        <v>230</v>
      </c>
      <c r="C23" s="8" t="str">
        <f>tbl_Rohdaten[[#This Row],[Reference]]</f>
        <v>L1,L2,L3,L4</v>
      </c>
      <c r="D23" s="8">
        <f>tbl_Rohdaten[[#This Row],[Qty_PCB]]</f>
        <v>4</v>
      </c>
      <c r="E23">
        <f>Bestellliste[[#This Row],[Qty PCB]]*($C$50-1)</f>
        <v>4</v>
      </c>
      <c r="F23" s="8">
        <f>Bestellliste[[#This Row],[Qty PCB]]+Bestellliste[[#This Row],[Qty Reserve]]</f>
        <v>8</v>
      </c>
      <c r="G23" s="8" t="s">
        <v>233</v>
      </c>
      <c r="H23" s="9" t="s">
        <v>234</v>
      </c>
      <c r="I23" s="8" t="str">
        <f>tbl_Rohdaten[[#This Row],[Footprint]]</f>
        <v>CUSTOM:Electromagnet</v>
      </c>
      <c r="K23" s="8" t="str">
        <f>tbl_Rohdaten[[#This Row],[Description]]</f>
        <v>Electromagnetic actor</v>
      </c>
      <c r="L23" s="10" t="str">
        <f>IF(tbl_Rohdaten[[#This Row],[Datasheet]]="","",HYPERLINK(tbl_Rohdaten[[#This Row],[Datasheet]],"Datasheet "&amp;Bestellliste[[#This Row],[Category]]))</f>
        <v/>
      </c>
      <c r="Q23" s="8">
        <f>Bestellliste[[#This Row],[Unit Price]]*Bestellliste[[#This Row],[Qty Order]]</f>
        <v>0</v>
      </c>
      <c r="R23" s="11" t="b">
        <v>1</v>
      </c>
      <c r="S23" s="11" t="b">
        <v>1</v>
      </c>
    </row>
    <row r="24" spans="1:19" x14ac:dyDescent="0.2">
      <c r="A24" s="14">
        <v>23</v>
      </c>
      <c r="B24" s="8" t="s">
        <v>231</v>
      </c>
      <c r="C24" s="8" t="str">
        <f>tbl_Rohdaten[[#This Row],[Reference]]</f>
        <v>L5</v>
      </c>
      <c r="D24" s="8">
        <f>tbl_Rohdaten[[#This Row],[Qty_PCB]]</f>
        <v>1</v>
      </c>
      <c r="E24">
        <f>Bestellliste[[#This Row],[Qty PCB]]*($C$50-1)</f>
        <v>1</v>
      </c>
      <c r="F24" s="8">
        <f>Bestellliste[[#This Row],[Qty PCB]]+Bestellliste[[#This Row],[Qty Reserve]]</f>
        <v>2</v>
      </c>
      <c r="G24" s="8" t="str">
        <f>tbl_Rohdaten[[#This Row],[Manufacturer]]</f>
        <v>Wurth Elektronik</v>
      </c>
      <c r="H24" s="9" t="str">
        <f>tbl_Rohdaten[[#This Row],[Part Number]]</f>
        <v>744761020A</v>
      </c>
      <c r="I24" s="8" t="str">
        <f>tbl_Rohdaten[[#This Row],[Footprint]]</f>
        <v>Inductor_SMD_Wurth:L_Wurth_WE-KI-0603</v>
      </c>
      <c r="K24" s="8" t="str">
        <f>tbl_Rohdaten[[#This Row],[Description]]</f>
        <v>Wire Wound Ceramic Inductor</v>
      </c>
      <c r="L24" s="10" t="str">
        <f>IF(tbl_Rohdaten[[#This Row],[Datasheet]]="","",HYPERLINK(tbl_Rohdaten[[#This Row],[Datasheet]],"Datasheet "&amp;Bestellliste[[#This Row],[Category]]))</f>
        <v>Datasheet Inductor</v>
      </c>
      <c r="Q24" s="8">
        <f>Bestellliste[[#This Row],[Unit Price]]*Bestellliste[[#This Row],[Qty Order]]</f>
        <v>0</v>
      </c>
      <c r="R24" s="11" t="b">
        <v>0</v>
      </c>
      <c r="S24" s="11" t="b">
        <v>0</v>
      </c>
    </row>
    <row r="25" spans="1:19" x14ac:dyDescent="0.2">
      <c r="A25" s="14">
        <v>24</v>
      </c>
      <c r="B25" s="8" t="s">
        <v>231</v>
      </c>
      <c r="C25" s="8" t="str">
        <f>tbl_Rohdaten[[#This Row],[Reference]]</f>
        <v>L6</v>
      </c>
      <c r="D25" s="8">
        <f>tbl_Rohdaten[[#This Row],[Qty_PCB]]</f>
        <v>1</v>
      </c>
      <c r="E25">
        <f>Bestellliste[[#This Row],[Qty PCB]]*($C$50-1)</f>
        <v>1</v>
      </c>
      <c r="F25" s="8">
        <f>Bestellliste[[#This Row],[Qty PCB]]+Bestellliste[[#This Row],[Qty Reserve]]</f>
        <v>2</v>
      </c>
      <c r="G25" s="8" t="str">
        <f>tbl_Rohdaten[[#This Row],[Manufacturer]]</f>
        <v>Wurth Elektronik</v>
      </c>
      <c r="H25" s="9" t="str">
        <f>tbl_Rohdaten[[#This Row],[Part Number]]</f>
        <v>744761124A</v>
      </c>
      <c r="I25" s="8" t="str">
        <f>tbl_Rohdaten[[#This Row],[Footprint]]</f>
        <v>Inductor_SMD_Wurth:L_Wurth_WE-KI-0603</v>
      </c>
      <c r="K25" s="8" t="str">
        <f>tbl_Rohdaten[[#This Row],[Description]]</f>
        <v>Wire Wound Ceramic Inductor</v>
      </c>
      <c r="L25" s="10" t="str">
        <f>IF(tbl_Rohdaten[[#This Row],[Datasheet]]="","",HYPERLINK(tbl_Rohdaten[[#This Row],[Datasheet]],"Datasheet "&amp;Bestellliste[[#This Row],[Category]]))</f>
        <v>Datasheet Inductor</v>
      </c>
      <c r="Q25" s="8">
        <f>Bestellliste[[#This Row],[Unit Price]]*Bestellliste[[#This Row],[Qty Order]]</f>
        <v>0</v>
      </c>
      <c r="R25" s="11" t="b">
        <v>0</v>
      </c>
      <c r="S25" s="11" t="b">
        <v>0</v>
      </c>
    </row>
    <row r="26" spans="1:19" x14ac:dyDescent="0.2">
      <c r="A26" s="14">
        <v>25</v>
      </c>
      <c r="B26" s="8" t="s">
        <v>232</v>
      </c>
      <c r="C26" s="8" t="str">
        <f>tbl_Rohdaten[[#This Row],[Reference]]</f>
        <v>POWER_LED2,Status_LED_RX1,Status_LED_TX1</v>
      </c>
      <c r="D26" s="8">
        <f>tbl_Rohdaten[[#This Row],[Qty_PCB]]</f>
        <v>3</v>
      </c>
      <c r="E26">
        <f>Bestellliste[[#This Row],[Qty PCB]]*($C$50-1)</f>
        <v>3</v>
      </c>
      <c r="F26" s="8">
        <f>Bestellliste[[#This Row],[Qty PCB]]+Bestellliste[[#This Row],[Qty Reserve]]</f>
        <v>6</v>
      </c>
      <c r="G26" s="8" t="str">
        <f>tbl_Rohdaten[[#This Row],[Manufacturer]]</f>
        <v>Wurth Elektronik</v>
      </c>
      <c r="H26" s="9" t="str">
        <f>tbl_Rohdaten[[#This Row],[Part Number]]</f>
        <v>150060VS86000</v>
      </c>
      <c r="I26" s="8" t="str">
        <f>tbl_Rohdaten[[#This Row],[Footprint]]</f>
        <v>LED_SMD_Wurth:D_Wurth_WL-SMCW-0603dome</v>
      </c>
      <c r="K26" s="8" t="str">
        <f>tbl_Rohdaten[[#This Row],[Description]]</f>
        <v>Mono-color Chip LED Waterclear</v>
      </c>
      <c r="L26" s="10" t="str">
        <f>IF(tbl_Rohdaten[[#This Row],[Datasheet]]="","",HYPERLINK(tbl_Rohdaten[[#This Row],[Datasheet]],"Datasheet "&amp;Bestellliste[[#This Row],[Category]]))</f>
        <v>Datasheet LED</v>
      </c>
      <c r="Q26" s="8">
        <f>Bestellliste[[#This Row],[Unit Price]]*Bestellliste[[#This Row],[Qty Order]]</f>
        <v>0</v>
      </c>
      <c r="R26" s="11" t="b">
        <v>0</v>
      </c>
      <c r="S26" s="11" t="b">
        <v>0</v>
      </c>
    </row>
    <row r="27" spans="1:19" x14ac:dyDescent="0.2">
      <c r="A27" s="14">
        <v>26</v>
      </c>
      <c r="B27" s="8" t="s">
        <v>223</v>
      </c>
      <c r="C27" s="8" t="str">
        <f>tbl_Rohdaten[[#This Row],[Reference]]</f>
        <v>R1,R2</v>
      </c>
      <c r="D27" s="8">
        <f>tbl_Rohdaten[[#This Row],[Qty_PCB]]</f>
        <v>2</v>
      </c>
      <c r="E27">
        <f>Bestellliste[[#This Row],[Qty PCB]]*($C$50-1)</f>
        <v>2</v>
      </c>
      <c r="F27" s="8">
        <f>Bestellliste[[#This Row],[Qty PCB]]+Bestellliste[[#This Row],[Qty Reserve]]</f>
        <v>4</v>
      </c>
      <c r="G27" s="8" t="str">
        <f>tbl_Rohdaten[[#This Row],[Manufacturer]]</f>
        <v>Wurth Elektronik</v>
      </c>
      <c r="H27" s="9" t="str">
        <f>tbl_Rohdaten[[#This Row],[Part Number]]</f>
        <v>560112120019</v>
      </c>
      <c r="I27" s="8" t="str">
        <f>tbl_Rohdaten[[#This Row],[Footprint]]</f>
        <v>Resistor_SMD_Wurth:R_Wurth_WRIS-RSKS-0805_R</v>
      </c>
      <c r="K27" s="8" t="str">
        <f>tbl_Rohdaten[[#This Row],[Description]]</f>
        <v>Anti-Sulfur Thick Film Resistors</v>
      </c>
      <c r="L27" s="10" t="str">
        <f>IF(tbl_Rohdaten[[#This Row],[Datasheet]]="","",HYPERLINK(tbl_Rohdaten[[#This Row],[Datasheet]],"Datasheet "&amp;Bestellliste[[#This Row],[Category]]))</f>
        <v>Datasheet Resistor</v>
      </c>
      <c r="Q27" s="8">
        <f>Bestellliste[[#This Row],[Unit Price]]*Bestellliste[[#This Row],[Qty Order]]</f>
        <v>0</v>
      </c>
      <c r="R27" s="11" t="b">
        <v>0</v>
      </c>
      <c r="S27" s="11" t="b">
        <v>0</v>
      </c>
    </row>
    <row r="28" spans="1:19" x14ac:dyDescent="0.2">
      <c r="A28" s="14">
        <v>27</v>
      </c>
      <c r="B28" s="8" t="s">
        <v>223</v>
      </c>
      <c r="C28" s="8" t="str">
        <f>tbl_Rohdaten[[#This Row],[Reference]]</f>
        <v>R3,R4,R11</v>
      </c>
      <c r="D28" s="8">
        <f>tbl_Rohdaten[[#This Row],[Qty_PCB]]</f>
        <v>3</v>
      </c>
      <c r="E28">
        <f>Bestellliste[[#This Row],[Qty PCB]]*($C$50-1)</f>
        <v>3</v>
      </c>
      <c r="F28" s="8">
        <f>Bestellliste[[#This Row],[Qty PCB]]+Bestellliste[[#This Row],[Qty Reserve]]</f>
        <v>6</v>
      </c>
      <c r="G28" s="8" t="str">
        <f>tbl_Rohdaten[[#This Row],[Manufacturer]]</f>
        <v>Wurth Elektronik</v>
      </c>
      <c r="H28" s="9" t="str">
        <f>tbl_Rohdaten[[#This Row],[Part Number]]</f>
        <v>560112132018</v>
      </c>
      <c r="I28" s="8" t="str">
        <f>tbl_Rohdaten[[#This Row],[Footprint]]</f>
        <v>Resistor_SMD_Wurth:R_Wurth_WRIS-RSKS-1206_R</v>
      </c>
      <c r="K28" s="8" t="str">
        <f>tbl_Rohdaten[[#This Row],[Description]]</f>
        <v>Anti-Sulfur Thick Film Resistors</v>
      </c>
      <c r="L28" s="10" t="str">
        <f>IF(tbl_Rohdaten[[#This Row],[Datasheet]]="","",HYPERLINK(tbl_Rohdaten[[#This Row],[Datasheet]],"Datasheet "&amp;Bestellliste[[#This Row],[Category]]))</f>
        <v>Datasheet Resistor</v>
      </c>
      <c r="Q28" s="8">
        <f>Bestellliste[[#This Row],[Unit Price]]*Bestellliste[[#This Row],[Qty Order]]</f>
        <v>0</v>
      </c>
      <c r="R28" s="11" t="b">
        <v>0</v>
      </c>
      <c r="S28" s="11" t="b">
        <v>0</v>
      </c>
    </row>
    <row r="29" spans="1:19" x14ac:dyDescent="0.2">
      <c r="A29" s="14">
        <v>28</v>
      </c>
      <c r="B29" s="8" t="s">
        <v>223</v>
      </c>
      <c r="C29" s="8" t="str">
        <f>tbl_Rohdaten[[#This Row],[Reference]]</f>
        <v>R6,R7</v>
      </c>
      <c r="D29" s="8">
        <f>tbl_Rohdaten[[#This Row],[Qty_PCB]]</f>
        <v>2</v>
      </c>
      <c r="E29">
        <f>Bestellliste[[#This Row],[Qty PCB]]*($C$50-1)</f>
        <v>2</v>
      </c>
      <c r="F29" s="8">
        <f>Bestellliste[[#This Row],[Qty PCB]]+Bestellliste[[#This Row],[Qty Reserve]]</f>
        <v>4</v>
      </c>
      <c r="G29" s="8" t="str">
        <f>tbl_Rohdaten[[#This Row],[Manufacturer]]</f>
        <v>Wurth Elektronik</v>
      </c>
      <c r="H29" s="9" t="str">
        <f>tbl_Rohdaten[[#This Row],[Part Number]]</f>
        <v>560112132050</v>
      </c>
      <c r="I29" s="8" t="str">
        <f>tbl_Rohdaten[[#This Row],[Footprint]]</f>
        <v>Resistor_SMD_Wurth:R_Wurth_WRIS-RSKS-1206_R</v>
      </c>
      <c r="K29" s="8" t="str">
        <f>tbl_Rohdaten[[#This Row],[Description]]</f>
        <v>Anti-Sulfur Thick Film Resistors</v>
      </c>
      <c r="L29" s="10" t="str">
        <f>IF(tbl_Rohdaten[[#This Row],[Datasheet]]="","",HYPERLINK(tbl_Rohdaten[[#This Row],[Datasheet]],"Datasheet "&amp;Bestellliste[[#This Row],[Category]]))</f>
        <v>Datasheet Resistor</v>
      </c>
      <c r="Q29" s="8">
        <f>Bestellliste[[#This Row],[Unit Price]]*Bestellliste[[#This Row],[Qty Order]]</f>
        <v>0</v>
      </c>
      <c r="R29" s="11" t="b">
        <v>0</v>
      </c>
      <c r="S29" s="11" t="b">
        <v>0</v>
      </c>
    </row>
    <row r="30" spans="1:19" x14ac:dyDescent="0.2">
      <c r="A30" s="14">
        <v>29</v>
      </c>
      <c r="B30" s="8" t="s">
        <v>223</v>
      </c>
      <c r="C30" s="8" t="str">
        <f>tbl_Rohdaten[[#This Row],[Reference]]</f>
        <v>R8,R9,R10</v>
      </c>
      <c r="D30" s="8">
        <f>tbl_Rohdaten[[#This Row],[Qty_PCB]]</f>
        <v>3</v>
      </c>
      <c r="E30">
        <f>Bestellliste[[#This Row],[Qty PCB]]*($C$50-1)</f>
        <v>3</v>
      </c>
      <c r="F30" s="8">
        <f>Bestellliste[[#This Row],[Qty PCB]]+Bestellliste[[#This Row],[Qty Reserve]]</f>
        <v>6</v>
      </c>
      <c r="G30" s="8" t="str">
        <f>tbl_Rohdaten[[#This Row],[Manufacturer]]</f>
        <v>Wurth Elektronik</v>
      </c>
      <c r="H30" s="9" t="str">
        <f>tbl_Rohdaten[[#This Row],[Part Number]]</f>
        <v>560112120030</v>
      </c>
      <c r="I30" s="8" t="str">
        <f>tbl_Rohdaten[[#This Row],[Footprint]]</f>
        <v>Resistor_SMD_Wurth:R_Wurth_WRIS-RSKS-0805_R</v>
      </c>
      <c r="K30" s="8" t="str">
        <f>tbl_Rohdaten[[#This Row],[Description]]</f>
        <v>Anti-Sulfur Thick Film Resistors</v>
      </c>
      <c r="L30" s="10" t="str">
        <f>IF(tbl_Rohdaten[[#This Row],[Datasheet]]="","",HYPERLINK(tbl_Rohdaten[[#This Row],[Datasheet]],"Datasheet "&amp;Bestellliste[[#This Row],[Category]]))</f>
        <v>Datasheet Resistor</v>
      </c>
      <c r="Q30" s="8">
        <f>Bestellliste[[#This Row],[Unit Price]]*Bestellliste[[#This Row],[Qty Order]]</f>
        <v>0</v>
      </c>
      <c r="R30" s="11" t="b">
        <v>0</v>
      </c>
      <c r="S30" s="11" t="b">
        <v>0</v>
      </c>
    </row>
    <row r="31" spans="1:19" x14ac:dyDescent="0.2">
      <c r="A31" s="14">
        <v>30</v>
      </c>
      <c r="B31" s="8" t="s">
        <v>223</v>
      </c>
      <c r="C31" s="8" t="str">
        <f>tbl_Rohdaten[[#This Row],[Reference]]</f>
        <v>R12,R13,R16,R17</v>
      </c>
      <c r="D31" s="8">
        <f>tbl_Rohdaten[[#This Row],[Qty_PCB]]</f>
        <v>4</v>
      </c>
      <c r="E31">
        <f>Bestellliste[[#This Row],[Qty PCB]]*($C$50-1)</f>
        <v>4</v>
      </c>
      <c r="F31" s="8">
        <f>Bestellliste[[#This Row],[Qty PCB]]+Bestellliste[[#This Row],[Qty Reserve]]</f>
        <v>8</v>
      </c>
      <c r="G31" s="8" t="str">
        <f>tbl_Rohdaten[[#This Row],[Manufacturer]]</f>
        <v>Wurth Elektronik</v>
      </c>
      <c r="H31" s="9" t="str">
        <f>tbl_Rohdaten[[#This Row],[Part Number]]</f>
        <v>560112132019</v>
      </c>
      <c r="I31" s="8" t="str">
        <f>tbl_Rohdaten[[#This Row],[Footprint]]</f>
        <v>Resistor_SMD_Wurth:R_Wurth_WRIS-RSKS-1206_R</v>
      </c>
      <c r="K31" s="8" t="str">
        <f>tbl_Rohdaten[[#This Row],[Description]]</f>
        <v>Anti-Sulfur Thick Film Resistors</v>
      </c>
      <c r="L31" s="10" t="str">
        <f>IF(tbl_Rohdaten[[#This Row],[Datasheet]]="","",HYPERLINK(tbl_Rohdaten[[#This Row],[Datasheet]],"Datasheet "&amp;Bestellliste[[#This Row],[Category]]))</f>
        <v>Datasheet Resistor</v>
      </c>
      <c r="Q31" s="8">
        <f>Bestellliste[[#This Row],[Unit Price]]*Bestellliste[[#This Row],[Qty Order]]</f>
        <v>0</v>
      </c>
      <c r="R31" s="11" t="b">
        <v>0</v>
      </c>
      <c r="S31" s="11" t="b">
        <v>0</v>
      </c>
    </row>
    <row r="32" spans="1:19" x14ac:dyDescent="0.2">
      <c r="A32" s="14">
        <v>31</v>
      </c>
      <c r="B32" s="8" t="s">
        <v>223</v>
      </c>
      <c r="C32" s="8" t="str">
        <f>tbl_Rohdaten[[#This Row],[Reference]]</f>
        <v>R18</v>
      </c>
      <c r="D32" s="8">
        <f>tbl_Rohdaten[[#This Row],[Qty_PCB]]</f>
        <v>1</v>
      </c>
      <c r="E32">
        <f>Bestellliste[[#This Row],[Qty PCB]]*($C$50-1)</f>
        <v>1</v>
      </c>
      <c r="F32" s="8">
        <f>Bestellliste[[#This Row],[Qty PCB]]+Bestellliste[[#This Row],[Qty Reserve]]</f>
        <v>2</v>
      </c>
      <c r="G32" s="8" t="str">
        <f>tbl_Rohdaten[[#This Row],[Manufacturer]]</f>
        <v>Wurth Elektronik</v>
      </c>
      <c r="H32" s="9" t="str">
        <f>tbl_Rohdaten[[#This Row],[Part Number]]</f>
        <v>560112116101</v>
      </c>
      <c r="I32" s="8" t="str">
        <f>tbl_Rohdaten[[#This Row],[Footprint]]</f>
        <v>Resistor_SMD_Wurth:R_Wurth_WRIS-RSKS-0603_R</v>
      </c>
      <c r="K32" s="8" t="str">
        <f>tbl_Rohdaten[[#This Row],[Description]]</f>
        <v>Anti-Sulfur Thick Film Resistors</v>
      </c>
      <c r="L32" s="10" t="str">
        <f>IF(tbl_Rohdaten[[#This Row],[Datasheet]]="","",HYPERLINK(tbl_Rohdaten[[#This Row],[Datasheet]],"Datasheet "&amp;Bestellliste[[#This Row],[Category]]))</f>
        <v>Datasheet Resistor</v>
      </c>
      <c r="Q32" s="8">
        <f>Bestellliste[[#This Row],[Unit Price]]*Bestellliste[[#This Row],[Qty Order]]</f>
        <v>0</v>
      </c>
      <c r="R32" s="11" t="b">
        <v>0</v>
      </c>
      <c r="S32" s="11" t="b">
        <v>0</v>
      </c>
    </row>
    <row r="33" spans="1:19" x14ac:dyDescent="0.2">
      <c r="A33" s="14">
        <v>32</v>
      </c>
      <c r="B33" s="8" t="s">
        <v>223</v>
      </c>
      <c r="C33" s="8" t="str">
        <f>tbl_Rohdaten[[#This Row],[Reference]]</f>
        <v>R19</v>
      </c>
      <c r="D33" s="8">
        <f>tbl_Rohdaten[[#This Row],[Qty_PCB]]</f>
        <v>1</v>
      </c>
      <c r="E33">
        <f>Bestellliste[[#This Row],[Qty PCB]]*($C$50-1)</f>
        <v>1</v>
      </c>
      <c r="F33" s="8">
        <f>Bestellliste[[#This Row],[Qty PCB]]+Bestellliste[[#This Row],[Qty Reserve]]</f>
        <v>2</v>
      </c>
      <c r="G33" s="8" t="str">
        <f>tbl_Rohdaten[[#This Row],[Manufacturer]]</f>
        <v>Wurth Elektronik</v>
      </c>
      <c r="H33" s="9" t="str">
        <f>tbl_Rohdaten[[#This Row],[Part Number]]</f>
        <v>560112110016</v>
      </c>
      <c r="I33" s="8" t="str">
        <f>tbl_Rohdaten[[#This Row],[Footprint]]</f>
        <v>Resistor_SMD_Wurth:R_Wurth_WRIS-RSKS-0402</v>
      </c>
      <c r="K33" s="8" t="str">
        <f>tbl_Rohdaten[[#This Row],[Description]]</f>
        <v>Anti-Sulfur Thick Film Resistors</v>
      </c>
      <c r="L33" s="10" t="str">
        <f>IF(tbl_Rohdaten[[#This Row],[Datasheet]]="","",HYPERLINK(tbl_Rohdaten[[#This Row],[Datasheet]],"Datasheet "&amp;Bestellliste[[#This Row],[Category]]))</f>
        <v>Datasheet Resistor</v>
      </c>
      <c r="Q33" s="8">
        <f>Bestellliste[[#This Row],[Unit Price]]*Bestellliste[[#This Row],[Qty Order]]</f>
        <v>0</v>
      </c>
      <c r="R33" s="11" t="b">
        <v>0</v>
      </c>
      <c r="S33" s="11" t="b">
        <v>0</v>
      </c>
    </row>
    <row r="34" spans="1:19" x14ac:dyDescent="0.2">
      <c r="A34" s="14">
        <v>33</v>
      </c>
      <c r="B34" s="8" t="s">
        <v>223</v>
      </c>
      <c r="C34" s="8" t="str">
        <f>tbl_Rohdaten[[#This Row],[Reference]]</f>
        <v>R20,R25,R30,R35</v>
      </c>
      <c r="D34" s="8">
        <f>tbl_Rohdaten[[#This Row],[Qty_PCB]]</f>
        <v>4</v>
      </c>
      <c r="E34">
        <f>Bestellliste[[#This Row],[Qty PCB]]*($C$50-1)</f>
        <v>4</v>
      </c>
      <c r="F34" s="8">
        <f>Bestellliste[[#This Row],[Qty PCB]]+Bestellliste[[#This Row],[Qty Reserve]]</f>
        <v>8</v>
      </c>
      <c r="G34" s="8" t="str">
        <f>tbl_Rohdaten[[#This Row],[Manufacturer]]</f>
        <v>Wurth Elektronik</v>
      </c>
      <c r="H34" s="9" t="str">
        <f>tbl_Rohdaten[[#This Row],[Part Number]]</f>
        <v>560112132041</v>
      </c>
      <c r="I34" s="8" t="str">
        <f>tbl_Rohdaten[[#This Row],[Footprint]]</f>
        <v>Resistor_SMD_Wurth:R_Wurth_WRIS-RSKS-1206_R</v>
      </c>
      <c r="K34" s="8" t="str">
        <f>tbl_Rohdaten[[#This Row],[Description]]</f>
        <v>Anti-Sulfur Thick Film Resistors</v>
      </c>
      <c r="L34" s="10" t="str">
        <f>IF(tbl_Rohdaten[[#This Row],[Datasheet]]="","",HYPERLINK(tbl_Rohdaten[[#This Row],[Datasheet]],"Datasheet "&amp;Bestellliste[[#This Row],[Category]]))</f>
        <v>Datasheet Resistor</v>
      </c>
      <c r="Q34" s="8">
        <f>Bestellliste[[#This Row],[Unit Price]]*Bestellliste[[#This Row],[Qty Order]]</f>
        <v>0</v>
      </c>
      <c r="R34" s="11" t="b">
        <v>0</v>
      </c>
      <c r="S34" s="11" t="b">
        <v>0</v>
      </c>
    </row>
    <row r="35" spans="1:19" x14ac:dyDescent="0.2">
      <c r="A35" s="14">
        <v>34</v>
      </c>
      <c r="B35" s="8" t="s">
        <v>223</v>
      </c>
      <c r="C35" s="8" t="str">
        <f>tbl_Rohdaten[[#This Row],[Reference]]</f>
        <v>R21,R26,R31,R36</v>
      </c>
      <c r="D35" s="8">
        <f>tbl_Rohdaten[[#This Row],[Qty_PCB]]</f>
        <v>4</v>
      </c>
      <c r="E35">
        <f>Bestellliste[[#This Row],[Qty PCB]]*($C$50-1)</f>
        <v>4</v>
      </c>
      <c r="F35" s="8">
        <f>Bestellliste[[#This Row],[Qty PCB]]+Bestellliste[[#This Row],[Qty Reserve]]</f>
        <v>8</v>
      </c>
      <c r="G35" s="8" t="str">
        <f>tbl_Rohdaten[[#This Row],[Manufacturer]]</f>
        <v>Wurth Elektronik</v>
      </c>
      <c r="H35" s="9" t="str">
        <f>tbl_Rohdaten[[#This Row],[Part Number]]</f>
        <v>560112116048</v>
      </c>
      <c r="I35" s="8" t="str">
        <f>tbl_Rohdaten[[#This Row],[Footprint]]</f>
        <v>Resistor_SMD_Wurth:R_Wurth_WRIS-RSKS-0603_R</v>
      </c>
      <c r="K35" s="8" t="str">
        <f>tbl_Rohdaten[[#This Row],[Description]]</f>
        <v>Anti-Sulfur Thick Film Resistors</v>
      </c>
      <c r="L35" s="10" t="str">
        <f>IF(tbl_Rohdaten[[#This Row],[Datasheet]]="","",HYPERLINK(tbl_Rohdaten[[#This Row],[Datasheet]],"Datasheet "&amp;Bestellliste[[#This Row],[Category]]))</f>
        <v>Datasheet Resistor</v>
      </c>
      <c r="Q35" s="8">
        <f>Bestellliste[[#This Row],[Unit Price]]*Bestellliste[[#This Row],[Qty Order]]</f>
        <v>0</v>
      </c>
      <c r="R35" s="11" t="b">
        <v>0</v>
      </c>
      <c r="S35" s="11" t="b">
        <v>0</v>
      </c>
    </row>
    <row r="36" spans="1:19" x14ac:dyDescent="0.2">
      <c r="A36" s="14">
        <v>35</v>
      </c>
      <c r="B36" s="8" t="s">
        <v>223</v>
      </c>
      <c r="C36" s="8" t="str">
        <f>tbl_Rohdaten[[#This Row],[Reference]]</f>
        <v>R22,R24,R27,R29,R32,R34,R37,R39</v>
      </c>
      <c r="D36" s="8">
        <f>tbl_Rohdaten[[#This Row],[Qty_PCB]]</f>
        <v>8</v>
      </c>
      <c r="E36">
        <f>Bestellliste[[#This Row],[Qty PCB]]*($C$50-1)</f>
        <v>8</v>
      </c>
      <c r="F36" s="8">
        <f>Bestellliste[[#This Row],[Qty PCB]]+Bestellliste[[#This Row],[Qty Reserve]]</f>
        <v>16</v>
      </c>
      <c r="G36" s="8" t="str">
        <f>tbl_Rohdaten[[#This Row],[Manufacturer]]</f>
        <v>Wurth Elektronik</v>
      </c>
      <c r="H36" s="9" t="str">
        <f>tbl_Rohdaten[[#This Row],[Part Number]]</f>
        <v>560112120002</v>
      </c>
      <c r="I36" s="8" t="str">
        <f>tbl_Rohdaten[[#This Row],[Footprint]]</f>
        <v>Resistor_SMD_Wurth:R_Wurth_WRIS-RSKS-0805_R</v>
      </c>
      <c r="K36" s="8" t="str">
        <f>tbl_Rohdaten[[#This Row],[Description]]</f>
        <v>Anti-Sulfur Thick Film Resistors</v>
      </c>
      <c r="L36" s="10" t="str">
        <f>IF(tbl_Rohdaten[[#This Row],[Datasheet]]="","",HYPERLINK(tbl_Rohdaten[[#This Row],[Datasheet]],"Datasheet "&amp;Bestellliste[[#This Row],[Category]]))</f>
        <v>Datasheet Resistor</v>
      </c>
      <c r="Q36" s="8">
        <f>Bestellliste[[#This Row],[Unit Price]]*Bestellliste[[#This Row],[Qty Order]]</f>
        <v>0</v>
      </c>
      <c r="R36" s="11" t="b">
        <v>0</v>
      </c>
      <c r="S36" s="11" t="b">
        <v>0</v>
      </c>
    </row>
    <row r="37" spans="1:19" x14ac:dyDescent="0.2">
      <c r="A37" s="14">
        <v>36</v>
      </c>
      <c r="B37" s="8" t="s">
        <v>223</v>
      </c>
      <c r="C37" s="8" t="str">
        <f>tbl_Rohdaten[[#This Row],[Reference]]</f>
        <v>R23,R28,R33,R38</v>
      </c>
      <c r="D37" s="8">
        <f>tbl_Rohdaten[[#This Row],[Qty_PCB]]</f>
        <v>4</v>
      </c>
      <c r="E37">
        <f>Bestellliste[[#This Row],[Qty PCB]]*($C$50-1)</f>
        <v>4</v>
      </c>
      <c r="F37" s="8">
        <f>Bestellliste[[#This Row],[Qty PCB]]+Bestellliste[[#This Row],[Qty Reserve]]</f>
        <v>8</v>
      </c>
      <c r="G37" s="8" t="str">
        <f>tbl_Rohdaten[[#This Row],[Manufacturer]]</f>
        <v>Wurth Elektronik</v>
      </c>
      <c r="H37" s="9" t="str">
        <f>tbl_Rohdaten[[#This Row],[Part Number]]</f>
        <v>560112120002</v>
      </c>
      <c r="I37" s="8" t="str">
        <f>tbl_Rohdaten[[#This Row],[Footprint]]</f>
        <v>Resistor_SMD_Wurth:R_Wurth_WRIS-RSKS-0805_R</v>
      </c>
      <c r="K37" s="8" t="str">
        <f>tbl_Rohdaten[[#This Row],[Description]]</f>
        <v>Anti-Sulfur Thick Film Resistors</v>
      </c>
      <c r="L37" s="10" t="str">
        <f>IF(tbl_Rohdaten[[#This Row],[Datasheet]]="","",HYPERLINK(tbl_Rohdaten[[#This Row],[Datasheet]],"Datasheet "&amp;Bestellliste[[#This Row],[Category]]))</f>
        <v>Datasheet Resistor</v>
      </c>
      <c r="Q37" s="8">
        <f>Bestellliste[[#This Row],[Unit Price]]*Bestellliste[[#This Row],[Qty Order]]</f>
        <v>0</v>
      </c>
      <c r="R37" s="11" t="b">
        <v>0</v>
      </c>
      <c r="S37" s="11" t="b">
        <v>0</v>
      </c>
    </row>
    <row r="38" spans="1:19" x14ac:dyDescent="0.2">
      <c r="A38" s="14">
        <v>37</v>
      </c>
      <c r="B38" s="8" t="s">
        <v>235</v>
      </c>
      <c r="C38" s="8" t="str">
        <f>tbl_Rohdaten[[#This Row],[Reference]]</f>
        <v>U1</v>
      </c>
      <c r="D38" s="8">
        <f>tbl_Rohdaten[[#This Row],[Qty_PCB]]</f>
        <v>1</v>
      </c>
      <c r="E38">
        <f>Bestellliste[[#This Row],[Qty PCB]]*($C$50-1)</f>
        <v>1</v>
      </c>
      <c r="F38" s="8">
        <f>Bestellliste[[#This Row],[Qty PCB]]+Bestellliste[[#This Row],[Qty Reserve]]</f>
        <v>2</v>
      </c>
      <c r="G38" s="8" t="s">
        <v>22</v>
      </c>
      <c r="H38" s="9" t="str">
        <f>tbl_Rohdaten[[#This Row],[Part Number]]</f>
        <v/>
      </c>
      <c r="I38" s="8" t="str">
        <f>tbl_Rohdaten[[#This Row],[Footprint]]</f>
        <v>Package_TO_SOT_SMD:SOT-23-6</v>
      </c>
      <c r="K38" s="8" t="str">
        <f>tbl_Rohdaten[[#This Row],[Description]]</f>
        <v>Low Capacitance TVS Diode Array, 2 Channels, SOT-23-6</v>
      </c>
      <c r="L38" s="10" t="str">
        <f>IF(tbl_Rohdaten[[#This Row],[Datasheet]]="","",HYPERLINK(tbl_Rohdaten[[#This Row],[Datasheet]],"Datasheet "&amp;Bestellliste[[#This Row],[Category]]))</f>
        <v>Datasheet TVS diode</v>
      </c>
      <c r="Q38" s="8">
        <f>Bestellliste[[#This Row],[Unit Price]]*Bestellliste[[#This Row],[Qty Order]]</f>
        <v>0</v>
      </c>
      <c r="R38" s="11" t="b">
        <v>0</v>
      </c>
      <c r="S38" s="11" t="b">
        <v>0</v>
      </c>
    </row>
    <row r="39" spans="1:19" x14ac:dyDescent="0.2">
      <c r="A39" s="14">
        <v>38</v>
      </c>
      <c r="B39" s="8" t="s">
        <v>236</v>
      </c>
      <c r="C39" s="8" t="str">
        <f>tbl_Rohdaten[[#This Row],[Reference]]</f>
        <v>U2</v>
      </c>
      <c r="D39" s="8">
        <f>tbl_Rohdaten[[#This Row],[Qty_PCB]]</f>
        <v>1</v>
      </c>
      <c r="E39">
        <f>Bestellliste[[#This Row],[Qty PCB]]*($C$50-1)</f>
        <v>1</v>
      </c>
      <c r="F39" s="8">
        <f>Bestellliste[[#This Row],[Qty PCB]]+Bestellliste[[#This Row],[Qty Reserve]]</f>
        <v>2</v>
      </c>
      <c r="G39" s="8" t="str">
        <f>tbl_Rohdaten[[#This Row],[Manufacturer]]</f>
        <v/>
      </c>
      <c r="H39" s="9" t="str">
        <f>tbl_Rohdaten[[#This Row],[Part Number]]</f>
        <v/>
      </c>
      <c r="I39" s="8" t="str">
        <f>tbl_Rohdaten[[#This Row],[Footprint]]</f>
        <v>Package_DFN_QFN:QFN-32-1EP_5x5mm_P0.5mm_EP3.45x3.45mm</v>
      </c>
      <c r="K39" s="8" t="str">
        <f>tbl_Rohdaten[[#This Row],[Description]]</f>
        <v/>
      </c>
      <c r="L39" s="10" t="str">
        <f>IF(tbl_Rohdaten[[#This Row],[Datasheet]]="","",HYPERLINK(tbl_Rohdaten[[#This Row],[Datasheet]],"Datasheet "&amp;Bestellliste[[#This Row],[Category]]))</f>
        <v>Datasheet Microcontroller</v>
      </c>
      <c r="Q39" s="8">
        <f>Bestellliste[[#This Row],[Unit Price]]*Bestellliste[[#This Row],[Qty Order]]</f>
        <v>0</v>
      </c>
      <c r="R39" s="11" t="b">
        <v>0</v>
      </c>
      <c r="S39" s="11" t="b">
        <v>0</v>
      </c>
    </row>
    <row r="40" spans="1:19" x14ac:dyDescent="0.2">
      <c r="A40" s="14">
        <v>39</v>
      </c>
      <c r="B40" s="8" t="s">
        <v>237</v>
      </c>
      <c r="C40" s="8" t="str">
        <f>tbl_Rohdaten[[#This Row],[Reference]]</f>
        <v>U4</v>
      </c>
      <c r="D40" s="8">
        <f>tbl_Rohdaten[[#This Row],[Qty_PCB]]</f>
        <v>1</v>
      </c>
      <c r="E40">
        <f>Bestellliste[[#This Row],[Qty PCB]]*($C$50-1)</f>
        <v>1</v>
      </c>
      <c r="F40" s="8">
        <f>Bestellliste[[#This Row],[Qty PCB]]+Bestellliste[[#This Row],[Qty Reserve]]</f>
        <v>2</v>
      </c>
      <c r="G40" s="8" t="str">
        <f>tbl_Rohdaten[[#This Row],[Manufacturer]]</f>
        <v>Texas Instruments</v>
      </c>
      <c r="H40" s="9" t="str">
        <f>tbl_Rohdaten[[#This Row],[Part Number]]</f>
        <v/>
      </c>
      <c r="I40" s="8" t="str">
        <f>tbl_Rohdaten[[#This Row],[Footprint]]</f>
        <v>SOT95P280X145-6N:SOT95P280X145-6N</v>
      </c>
      <c r="K40" s="8" t="str">
        <f>tbl_Rohdaten[[#This Row],[Description]]</f>
        <v>Automotive, high-precision, linear 3D Hall-effect sensor with I²C interface</v>
      </c>
      <c r="L40" s="10" t="str">
        <f>IF(tbl_Rohdaten[[#This Row],[Datasheet]]="","",HYPERLINK(tbl_Rohdaten[[#This Row],[Datasheet]],"Datasheet "&amp;Bestellliste[[#This Row],[Category]]))</f>
        <v>Datasheet 3D-Hallsensor</v>
      </c>
      <c r="Q40" s="8">
        <f>Bestellliste[[#This Row],[Unit Price]]*Bestellliste[[#This Row],[Qty Order]]</f>
        <v>0</v>
      </c>
      <c r="R40" s="11" t="b">
        <v>0</v>
      </c>
      <c r="S40" s="11" t="b">
        <v>0</v>
      </c>
    </row>
    <row r="41" spans="1:19" x14ac:dyDescent="0.2">
      <c r="A41" s="14">
        <v>40</v>
      </c>
      <c r="B41" s="8" t="s">
        <v>238</v>
      </c>
      <c r="C41" s="8" t="str">
        <f>tbl_Rohdaten[[#This Row],[Reference]]</f>
        <v>U5</v>
      </c>
      <c r="D41" s="8">
        <f>tbl_Rohdaten[[#This Row],[Qty_PCB]]</f>
        <v>1</v>
      </c>
      <c r="E41">
        <f>Bestellliste[[#This Row],[Qty PCB]]*($C$50-1)</f>
        <v>1</v>
      </c>
      <c r="F41" s="8">
        <f>Bestellliste[[#This Row],[Qty PCB]]+Bestellliste[[#This Row],[Qty Reserve]]</f>
        <v>2</v>
      </c>
      <c r="G41" s="8" t="str">
        <f>tbl_Rohdaten[[#This Row],[Manufacturer]]</f>
        <v>Texas Instruments</v>
      </c>
      <c r="H41" s="9" t="str">
        <f>tbl_Rohdaten[[#This Row],[Part Number]]</f>
        <v/>
      </c>
      <c r="I41" s="8" t="str">
        <f>tbl_Rohdaten[[#This Row],[Footprint]]</f>
        <v>IC_TPS259474ARPWR:IC_TPS259474ARPWR</v>
      </c>
      <c r="K41" s="8" t="str">
        <f>tbl_Rohdaten[[#This Row],[Description]]</f>
        <v>2.7-V to 23-V, 28-mΩ, 5.5-A eFuse with integrated reverse polarity protection</v>
      </c>
      <c r="L41" s="10" t="str">
        <f>IF(tbl_Rohdaten[[#This Row],[Datasheet]]="","",HYPERLINK(tbl_Rohdaten[[#This Row],[Datasheet]],"Datasheet "&amp;Bestellliste[[#This Row],[Category]]))</f>
        <v/>
      </c>
      <c r="Q41" s="8">
        <f>Bestellliste[[#This Row],[Unit Price]]*Bestellliste[[#This Row],[Qty Order]]</f>
        <v>0</v>
      </c>
      <c r="R41" s="11" t="b">
        <v>0</v>
      </c>
      <c r="S41" s="11" t="b">
        <v>0</v>
      </c>
    </row>
    <row r="42" spans="1:19" x14ac:dyDescent="0.2">
      <c r="A42" s="14">
        <v>41</v>
      </c>
      <c r="B42" s="8" t="s">
        <v>226</v>
      </c>
      <c r="C42" s="8" t="str">
        <f>tbl_Rohdaten[[#This Row],[Reference]]</f>
        <v>UART1</v>
      </c>
      <c r="D42" s="8">
        <f>tbl_Rohdaten[[#This Row],[Qty_PCB]]</f>
        <v>1</v>
      </c>
      <c r="E42">
        <f>Bestellliste[[#This Row],[Qty PCB]]*($C$50-1)</f>
        <v>1</v>
      </c>
      <c r="F42" s="8">
        <f>Bestellliste[[#This Row],[Qty PCB]]+Bestellliste[[#This Row],[Qty Reserve]]</f>
        <v>2</v>
      </c>
      <c r="G42" s="8" t="str">
        <f>tbl_Rohdaten[[#This Row],[Manufacturer]]</f>
        <v>Wurth Elektronik</v>
      </c>
      <c r="H42" s="9" t="str">
        <f>tbl_Rohdaten[[#This Row],[Part Number]]</f>
        <v/>
      </c>
      <c r="I42" s="8" t="str">
        <f>tbl_Rohdaten[[#This Row],[Footprint]]</f>
        <v>Connector_THT_Wurth:J_Wurth_WR-PHD_61300211121</v>
      </c>
      <c r="K42" s="8" t="str">
        <f>tbl_Rohdaten[[#This Row],[Description]]</f>
        <v>2.54 mm THT Pin Header</v>
      </c>
      <c r="L42" s="10" t="str">
        <f>IF(tbl_Rohdaten[[#This Row],[Datasheet]]="","",HYPERLINK(tbl_Rohdaten[[#This Row],[Datasheet]],"Datasheet "&amp;Bestellliste[[#This Row],[Category]]))</f>
        <v>Datasheet Connector</v>
      </c>
      <c r="Q42" s="8">
        <f>Bestellliste[[#This Row],[Unit Price]]*Bestellliste[[#This Row],[Qty Order]]</f>
        <v>0</v>
      </c>
      <c r="R42" s="11" t="b">
        <v>0</v>
      </c>
      <c r="S42" s="11" t="b">
        <v>0</v>
      </c>
    </row>
    <row r="43" spans="1:19" x14ac:dyDescent="0.2">
      <c r="A43" s="14">
        <v>42</v>
      </c>
      <c r="B43" s="8" t="s">
        <v>239</v>
      </c>
      <c r="C43" s="8" t="str">
        <f>tbl_Rohdaten[[#This Row],[Reference]]</f>
        <v>Y1</v>
      </c>
      <c r="D43" s="8">
        <f>tbl_Rohdaten[[#This Row],[Qty_PCB]]</f>
        <v>1</v>
      </c>
      <c r="E43">
        <f>Bestellliste[[#This Row],[Qty PCB]]*($C$50-1)</f>
        <v>1</v>
      </c>
      <c r="F43" s="8">
        <f>Bestellliste[[#This Row],[Qty PCB]]+Bestellliste[[#This Row],[Qty Reserve]]</f>
        <v>2</v>
      </c>
      <c r="G43" s="8" t="str">
        <f>tbl_Rohdaten[[#This Row],[Manufacturer]]</f>
        <v>Wurth Elektronik</v>
      </c>
      <c r="H43" s="9" t="str">
        <f>tbl_Rohdaten[[#This Row],[Part Number]]</f>
        <v>830108213209</v>
      </c>
      <c r="I43" s="8" t="str">
        <f>tbl_Rohdaten[[#This Row],[Footprint]]</f>
        <v>Crystal_SMD_Wurth:Y_Wurth_WE-XTAL_Quartz-IQXC-42</v>
      </c>
      <c r="K43" s="8" t="str">
        <f>tbl_Rohdaten[[#This Row],[Description]]</f>
        <v>Quartz Crystal ED</v>
      </c>
      <c r="L43" s="10" t="str">
        <f>IF(tbl_Rohdaten[[#This Row],[Datasheet]]="","",HYPERLINK(tbl_Rohdaten[[#This Row],[Datasheet]],"Datasheet "&amp;Bestellliste[[#This Row],[Category]]))</f>
        <v>Datasheet Crystal</v>
      </c>
      <c r="Q43" s="8">
        <f>Bestellliste[[#This Row],[Unit Price]]*Bestellliste[[#This Row],[Qty Order]]</f>
        <v>0</v>
      </c>
      <c r="R43" s="11" t="b">
        <v>0</v>
      </c>
      <c r="S43" s="11" t="b">
        <v>0</v>
      </c>
    </row>
    <row r="44" spans="1:19" x14ac:dyDescent="0.2">
      <c r="A44" s="14">
        <v>43</v>
      </c>
      <c r="B44" s="8" t="s">
        <v>240</v>
      </c>
      <c r="C44" s="8" t="s">
        <v>234</v>
      </c>
      <c r="D44" s="8">
        <v>1</v>
      </c>
      <c r="E44">
        <f>Bestellliste[[#This Row],[Qty PCB]]*($C$50-1)</f>
        <v>1</v>
      </c>
      <c r="F44" s="8">
        <f>Bestellliste[[#This Row],[Qty PCB]]+Bestellliste[[#This Row],[Qty Reserve]]</f>
        <v>2</v>
      </c>
      <c r="G44" s="8" t="s">
        <v>22</v>
      </c>
      <c r="H44" s="9" t="s">
        <v>242</v>
      </c>
      <c r="I44" s="8" t="s">
        <v>234</v>
      </c>
      <c r="K44" s="12" t="s">
        <v>244</v>
      </c>
      <c r="L44" s="10"/>
      <c r="Q44" s="8">
        <f>Bestellliste[[#This Row],[Unit Price]]*Bestellliste[[#This Row],[Qty Order]]</f>
        <v>0</v>
      </c>
      <c r="R44" s="11" t="b">
        <v>0</v>
      </c>
      <c r="S44" s="11" t="b">
        <v>0</v>
      </c>
    </row>
    <row r="45" spans="1:19" x14ac:dyDescent="0.2">
      <c r="A45" s="14">
        <v>44</v>
      </c>
      <c r="B45" s="8" t="s">
        <v>241</v>
      </c>
      <c r="C45" s="8" t="s">
        <v>234</v>
      </c>
      <c r="D45" s="8">
        <v>1</v>
      </c>
      <c r="E45">
        <f>Bestellliste[[#This Row],[Qty PCB]]*($C$50-1)</f>
        <v>1</v>
      </c>
      <c r="F45" s="8">
        <f>Bestellliste[[#This Row],[Qty PCB]]+Bestellliste[[#This Row],[Qty Reserve]]</f>
        <v>2</v>
      </c>
      <c r="G45" s="8" t="s">
        <v>22</v>
      </c>
      <c r="H45" s="9" t="s">
        <v>243</v>
      </c>
      <c r="I45" s="8" t="s">
        <v>234</v>
      </c>
      <c r="K45" s="12" t="s">
        <v>245</v>
      </c>
      <c r="L45" s="16"/>
      <c r="Q45" s="8">
        <f>Bestellliste[[#This Row],[Unit Price]]*Bestellliste[[#This Row],[Qty Order]]</f>
        <v>0</v>
      </c>
      <c r="R45" s="11" t="b">
        <v>0</v>
      </c>
      <c r="S45" s="11" t="b">
        <v>0</v>
      </c>
    </row>
    <row r="46" spans="1:19" x14ac:dyDescent="0.2">
      <c r="A46" s="14">
        <v>45</v>
      </c>
      <c r="B46" s="8" t="s">
        <v>246</v>
      </c>
      <c r="C46" s="8" t="s">
        <v>253</v>
      </c>
      <c r="D46" s="8">
        <v>8</v>
      </c>
      <c r="E46">
        <f>Bestellliste[[#This Row],[Qty PCB]]*($C$50-1)</f>
        <v>8</v>
      </c>
      <c r="F46" s="8">
        <f>Bestellliste[[#This Row],[Qty PCB]]+Bestellliste[[#This Row],[Qty Reserve]]</f>
        <v>16</v>
      </c>
      <c r="H46" s="9"/>
      <c r="K46" s="8" t="s">
        <v>247</v>
      </c>
      <c r="L46" s="10"/>
      <c r="Q46" s="8">
        <f>Bestellliste[[#This Row],[Unit Price]]*Bestellliste[[#This Row],[Qty Order]]</f>
        <v>0</v>
      </c>
      <c r="R46" s="11" t="b">
        <v>0</v>
      </c>
      <c r="S46" s="11" t="b">
        <v>0</v>
      </c>
    </row>
    <row r="47" spans="1:19" x14ac:dyDescent="0.2">
      <c r="A47" s="14">
        <v>46</v>
      </c>
      <c r="B47" s="8" t="s">
        <v>250</v>
      </c>
      <c r="C47" s="8" t="s">
        <v>253</v>
      </c>
      <c r="D47" s="8">
        <v>8</v>
      </c>
      <c r="E47">
        <f>Bestellliste[[#This Row],[Qty PCB]]*($C$50-1)</f>
        <v>8</v>
      </c>
      <c r="F47" s="8">
        <f>Bestellliste[[#This Row],[Qty PCB]]+Bestellliste[[#This Row],[Qty Reserve]]</f>
        <v>16</v>
      </c>
      <c r="G47" s="8" t="s">
        <v>22</v>
      </c>
      <c r="H47" s="9">
        <v>970200351</v>
      </c>
      <c r="K47" s="8" t="s">
        <v>251</v>
      </c>
      <c r="L47" s="10"/>
      <c r="O47" s="8" t="s">
        <v>252</v>
      </c>
      <c r="Q47" s="8">
        <f>Bestellliste[[#This Row],[Unit Price]]*Bestellliste[[#This Row],[Qty Order]]</f>
        <v>0</v>
      </c>
      <c r="R47" s="11" t="b">
        <v>0</v>
      </c>
      <c r="S47" s="11" t="b">
        <v>0</v>
      </c>
    </row>
    <row r="48" spans="1:19" x14ac:dyDescent="0.2">
      <c r="A48" s="14">
        <v>47</v>
      </c>
      <c r="B48" s="8" t="s">
        <v>248</v>
      </c>
      <c r="C48" s="3" t="s">
        <v>253</v>
      </c>
      <c r="D48" s="8">
        <v>4</v>
      </c>
      <c r="E48">
        <f>Bestellliste[[#This Row],[Qty PCB]]*($C$50-1)</f>
        <v>4</v>
      </c>
      <c r="F48" s="8">
        <f>Bestellliste[[#This Row],[Qty PCB]]+Bestellliste[[#This Row],[Qty Reserve]]</f>
        <v>8</v>
      </c>
      <c r="G48" s="8" t="s">
        <v>22</v>
      </c>
      <c r="H48" s="9">
        <v>94505039</v>
      </c>
      <c r="K48" s="8" t="s">
        <v>249</v>
      </c>
      <c r="L48" s="10"/>
      <c r="Q48" s="8">
        <f>Bestellliste[[#This Row],[Unit Price]]*Bestellliste[[#This Row],[Qty Order]]</f>
        <v>0</v>
      </c>
      <c r="R48" s="11" t="b">
        <v>0</v>
      </c>
      <c r="S48" s="11" t="b">
        <v>0</v>
      </c>
    </row>
    <row r="49" spans="1:20" x14ac:dyDescent="0.2">
      <c r="A49" s="2" t="s">
        <v>255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4"/>
      <c r="M49" s="2"/>
      <c r="N49" s="2"/>
      <c r="O49" s="2"/>
      <c r="P49" s="2"/>
      <c r="Q49" s="2">
        <f>SUM(Bestellliste[Total Price])</f>
        <v>0</v>
      </c>
      <c r="R49" s="2"/>
      <c r="S49" s="2"/>
      <c r="T49" s="2"/>
    </row>
    <row r="50" spans="1:20" x14ac:dyDescent="0.2">
      <c r="A50" s="17" t="s">
        <v>258</v>
      </c>
      <c r="B50" s="17"/>
      <c r="C50" s="18">
        <v>2</v>
      </c>
    </row>
    <row r="51" spans="1:20" x14ac:dyDescent="0.2">
      <c r="A51" s="17"/>
      <c r="B51" s="17"/>
      <c r="C51" s="18"/>
    </row>
    <row r="52" spans="1:20" x14ac:dyDescent="0.2">
      <c r="A52" s="17"/>
      <c r="B52" s="17"/>
      <c r="C52" s="18"/>
    </row>
  </sheetData>
  <mergeCells count="2">
    <mergeCell ref="A50:B52"/>
    <mergeCell ref="C50:C52"/>
  </mergeCells>
  <conditionalFormatting sqref="R1:S48">
    <cfRule type="expression" dxfId="41" priority="3">
      <formula>R1=FALSE</formula>
    </cfRule>
    <cfRule type="expression" dxfId="40" priority="4">
      <formula>R1=TRUE</formula>
    </cfRule>
  </conditionalFormatting>
  <pageMargins left="0.7" right="0.7" top="0.78740157499999996" bottom="0.78740157499999996" header="0.3" footer="0.3"/>
  <ignoredErrors>
    <ignoredError sqref="D44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B46A-C239-C840-BC09-9DD6DAE3A023}">
  <dimension ref="A1"/>
  <sheetViews>
    <sheetView workbookViewId="0">
      <selection activeCell="F19" sqref="F19"/>
    </sheetView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88B5-FBBA-3546-84ED-10EDFF6ABB57}">
  <dimension ref="A1:H43"/>
  <sheetViews>
    <sheetView zoomScale="76" workbookViewId="0">
      <selection activeCell="D48" sqref="D48"/>
    </sheetView>
  </sheetViews>
  <sheetFormatPr baseColWidth="10" defaultRowHeight="16" x14ac:dyDescent="0.2"/>
  <cols>
    <col min="1" max="1" width="44.6640625" customWidth="1"/>
    <col min="2" max="2" width="11" bestFit="1" customWidth="1"/>
    <col min="3" max="3" width="24" bestFit="1" customWidth="1"/>
    <col min="4" max="4" width="56.33203125" bestFit="1" customWidth="1"/>
    <col min="5" max="5" width="75.6640625" bestFit="1" customWidth="1"/>
    <col min="6" max="6" width="15.6640625" bestFit="1" customWidth="1"/>
    <col min="7" max="7" width="14.1640625" bestFit="1" customWidth="1"/>
    <col min="8" max="8" width="80.6640625" bestFit="1" customWidth="1"/>
  </cols>
  <sheetData>
    <row r="1" spans="1:8" x14ac:dyDescent="0.2">
      <c r="A1" t="s">
        <v>2</v>
      </c>
      <c r="B1" t="s">
        <v>189</v>
      </c>
      <c r="C1" t="s">
        <v>16</v>
      </c>
      <c r="D1" t="s">
        <v>17</v>
      </c>
      <c r="E1" t="s">
        <v>9</v>
      </c>
      <c r="F1" t="s">
        <v>5</v>
      </c>
      <c r="G1" t="s">
        <v>6</v>
      </c>
      <c r="H1" t="s">
        <v>18</v>
      </c>
    </row>
    <row r="2" spans="1:8" x14ac:dyDescent="0.2">
      <c r="A2" s="1" t="s">
        <v>19</v>
      </c>
      <c r="B2">
        <v>2</v>
      </c>
      <c r="C2" s="1" t="s">
        <v>190</v>
      </c>
      <c r="D2" s="1" t="s">
        <v>20</v>
      </c>
      <c r="E2" s="1" t="s">
        <v>21</v>
      </c>
      <c r="F2" s="1" t="s">
        <v>22</v>
      </c>
      <c r="G2" s="1" t="s">
        <v>190</v>
      </c>
      <c r="H2" s="1" t="s">
        <v>23</v>
      </c>
    </row>
    <row r="3" spans="1:8" x14ac:dyDescent="0.2">
      <c r="A3" s="1" t="s">
        <v>24</v>
      </c>
      <c r="B3">
        <v>6</v>
      </c>
      <c r="C3" s="1" t="s">
        <v>25</v>
      </c>
      <c r="D3" s="1" t="s">
        <v>26</v>
      </c>
      <c r="E3" s="1" t="s">
        <v>27</v>
      </c>
      <c r="F3" s="1" t="s">
        <v>22</v>
      </c>
      <c r="G3" s="1" t="s">
        <v>191</v>
      </c>
      <c r="H3" s="1" t="s">
        <v>28</v>
      </c>
    </row>
    <row r="4" spans="1:8" x14ac:dyDescent="0.2">
      <c r="A4" s="1" t="s">
        <v>29</v>
      </c>
      <c r="B4">
        <v>1</v>
      </c>
      <c r="C4" s="1" t="s">
        <v>30</v>
      </c>
      <c r="D4" s="1" t="s">
        <v>26</v>
      </c>
      <c r="E4" s="1" t="s">
        <v>31</v>
      </c>
      <c r="F4" s="1" t="s">
        <v>22</v>
      </c>
      <c r="G4" s="1" t="s">
        <v>192</v>
      </c>
      <c r="H4" s="1" t="s">
        <v>32</v>
      </c>
    </row>
    <row r="5" spans="1:8" x14ac:dyDescent="0.2">
      <c r="A5" s="1" t="s">
        <v>33</v>
      </c>
      <c r="B5">
        <v>12</v>
      </c>
      <c r="C5" s="1" t="s">
        <v>34</v>
      </c>
      <c r="D5" s="1" t="s">
        <v>35</v>
      </c>
      <c r="E5" s="1" t="s">
        <v>36</v>
      </c>
      <c r="F5" s="1" t="s">
        <v>22</v>
      </c>
      <c r="G5" s="1" t="s">
        <v>193</v>
      </c>
      <c r="H5" s="1" t="s">
        <v>37</v>
      </c>
    </row>
    <row r="6" spans="1:8" x14ac:dyDescent="0.2">
      <c r="A6" s="1" t="s">
        <v>38</v>
      </c>
      <c r="B6">
        <v>1</v>
      </c>
      <c r="C6" s="1" t="s">
        <v>39</v>
      </c>
      <c r="D6" s="1" t="s">
        <v>35</v>
      </c>
      <c r="E6" s="1" t="s">
        <v>40</v>
      </c>
      <c r="F6" s="1" t="s">
        <v>22</v>
      </c>
      <c r="G6" s="1" t="s">
        <v>194</v>
      </c>
      <c r="H6" s="1" t="s">
        <v>28</v>
      </c>
    </row>
    <row r="7" spans="1:8" x14ac:dyDescent="0.2">
      <c r="A7" s="1" t="s">
        <v>41</v>
      </c>
      <c r="B7">
        <v>4</v>
      </c>
      <c r="C7" s="1" t="s">
        <v>42</v>
      </c>
      <c r="D7" s="1" t="s">
        <v>43</v>
      </c>
      <c r="E7" s="1" t="s">
        <v>44</v>
      </c>
      <c r="F7" s="1" t="s">
        <v>22</v>
      </c>
      <c r="G7" s="1" t="s">
        <v>195</v>
      </c>
      <c r="H7" s="1" t="s">
        <v>28</v>
      </c>
    </row>
    <row r="8" spans="1:8" x14ac:dyDescent="0.2">
      <c r="A8" s="1" t="s">
        <v>45</v>
      </c>
      <c r="B8">
        <v>4</v>
      </c>
      <c r="C8" s="1" t="s">
        <v>46</v>
      </c>
      <c r="D8" s="1" t="s">
        <v>47</v>
      </c>
      <c r="E8" s="1" t="s">
        <v>48</v>
      </c>
      <c r="F8" s="1" t="s">
        <v>22</v>
      </c>
      <c r="G8" s="1" t="s">
        <v>196</v>
      </c>
      <c r="H8" s="1" t="s">
        <v>49</v>
      </c>
    </row>
    <row r="9" spans="1:8" x14ac:dyDescent="0.2">
      <c r="A9" s="1" t="s">
        <v>50</v>
      </c>
      <c r="B9">
        <v>1</v>
      </c>
      <c r="C9" s="1" t="s">
        <v>51</v>
      </c>
      <c r="D9" s="1" t="s">
        <v>43</v>
      </c>
      <c r="E9" s="1" t="s">
        <v>52</v>
      </c>
      <c r="F9" s="1" t="s">
        <v>22</v>
      </c>
      <c r="G9" s="1" t="s">
        <v>197</v>
      </c>
      <c r="H9" s="1" t="s">
        <v>53</v>
      </c>
    </row>
    <row r="10" spans="1:8" x14ac:dyDescent="0.2">
      <c r="A10" s="1" t="s">
        <v>54</v>
      </c>
      <c r="B10">
        <v>1</v>
      </c>
      <c r="C10" s="1" t="s">
        <v>55</v>
      </c>
      <c r="D10" s="1" t="s">
        <v>56</v>
      </c>
      <c r="E10" s="1" t="s">
        <v>57</v>
      </c>
      <c r="F10" s="1" t="s">
        <v>22</v>
      </c>
      <c r="G10" s="1" t="s">
        <v>198</v>
      </c>
      <c r="H10" s="1" t="s">
        <v>58</v>
      </c>
    </row>
    <row r="11" spans="1:8" x14ac:dyDescent="0.2">
      <c r="A11" s="1" t="s">
        <v>59</v>
      </c>
      <c r="B11">
        <v>1</v>
      </c>
      <c r="C11" s="1" t="s">
        <v>60</v>
      </c>
      <c r="D11" s="1" t="s">
        <v>26</v>
      </c>
      <c r="E11" s="1" t="s">
        <v>61</v>
      </c>
      <c r="F11" s="1" t="s">
        <v>22</v>
      </c>
      <c r="G11" s="1" t="s">
        <v>199</v>
      </c>
      <c r="H11" s="1" t="s">
        <v>62</v>
      </c>
    </row>
    <row r="12" spans="1:8" x14ac:dyDescent="0.2">
      <c r="A12" s="1" t="s">
        <v>63</v>
      </c>
      <c r="B12">
        <v>2</v>
      </c>
      <c r="C12" s="1" t="s">
        <v>64</v>
      </c>
      <c r="D12" s="1" t="s">
        <v>65</v>
      </c>
      <c r="E12" s="1" t="s">
        <v>66</v>
      </c>
      <c r="F12" s="1" t="s">
        <v>22</v>
      </c>
      <c r="G12" s="1" t="s">
        <v>200</v>
      </c>
      <c r="H12" s="1" t="s">
        <v>53</v>
      </c>
    </row>
    <row r="13" spans="1:8" x14ac:dyDescent="0.2">
      <c r="A13" s="1" t="s">
        <v>67</v>
      </c>
      <c r="B13">
        <v>4</v>
      </c>
      <c r="C13" s="1" t="s">
        <v>68</v>
      </c>
      <c r="D13" s="1" t="s">
        <v>69</v>
      </c>
      <c r="E13" s="1" t="s">
        <v>201</v>
      </c>
      <c r="F13" s="1" t="s">
        <v>201</v>
      </c>
      <c r="G13" s="1" t="s">
        <v>201</v>
      </c>
      <c r="H13" s="1" t="s">
        <v>70</v>
      </c>
    </row>
    <row r="14" spans="1:8" x14ac:dyDescent="0.2">
      <c r="A14" s="1" t="s">
        <v>71</v>
      </c>
      <c r="B14">
        <v>1</v>
      </c>
      <c r="C14" s="1" t="s">
        <v>72</v>
      </c>
      <c r="D14" s="1" t="s">
        <v>73</v>
      </c>
      <c r="E14" s="1" t="s">
        <v>74</v>
      </c>
      <c r="F14" s="1" t="s">
        <v>22</v>
      </c>
      <c r="G14" s="1" t="s">
        <v>202</v>
      </c>
      <c r="H14" s="1" t="s">
        <v>75</v>
      </c>
    </row>
    <row r="15" spans="1:8" x14ac:dyDescent="0.2">
      <c r="A15" s="1" t="s">
        <v>76</v>
      </c>
      <c r="B15">
        <v>1</v>
      </c>
      <c r="C15" s="1" t="s">
        <v>203</v>
      </c>
      <c r="D15" s="1" t="s">
        <v>77</v>
      </c>
      <c r="E15" s="1" t="s">
        <v>78</v>
      </c>
      <c r="F15" s="1" t="s">
        <v>22</v>
      </c>
      <c r="G15" s="1" t="s">
        <v>201</v>
      </c>
      <c r="H15" s="1" t="s">
        <v>79</v>
      </c>
    </row>
    <row r="16" spans="1:8" x14ac:dyDescent="0.2">
      <c r="A16" s="1" t="s">
        <v>80</v>
      </c>
      <c r="B16">
        <v>1</v>
      </c>
      <c r="C16" s="1" t="s">
        <v>81</v>
      </c>
      <c r="D16" s="1" t="s">
        <v>82</v>
      </c>
      <c r="E16" s="1" t="s">
        <v>83</v>
      </c>
      <c r="F16" s="1" t="s">
        <v>201</v>
      </c>
      <c r="G16" s="1" t="s">
        <v>201</v>
      </c>
      <c r="H16" s="1" t="s">
        <v>85</v>
      </c>
    </row>
    <row r="17" spans="1:8" x14ac:dyDescent="0.2">
      <c r="A17" s="1" t="s">
        <v>86</v>
      </c>
      <c r="B17">
        <v>1</v>
      </c>
      <c r="C17" s="1" t="s">
        <v>204</v>
      </c>
      <c r="D17" s="1" t="s">
        <v>87</v>
      </c>
      <c r="E17" s="1" t="s">
        <v>201</v>
      </c>
      <c r="F17" s="1" t="s">
        <v>201</v>
      </c>
      <c r="G17" s="1" t="s">
        <v>201</v>
      </c>
      <c r="H17" s="1" t="s">
        <v>88</v>
      </c>
    </row>
    <row r="18" spans="1:8" x14ac:dyDescent="0.2">
      <c r="A18" s="1" t="s">
        <v>89</v>
      </c>
      <c r="B18">
        <v>1</v>
      </c>
      <c r="C18" s="1" t="s">
        <v>205</v>
      </c>
      <c r="D18" s="1" t="s">
        <v>90</v>
      </c>
      <c r="E18" s="1" t="s">
        <v>201</v>
      </c>
      <c r="F18" s="1" t="s">
        <v>201</v>
      </c>
      <c r="G18" s="1" t="s">
        <v>201</v>
      </c>
      <c r="H18" s="1" t="s">
        <v>91</v>
      </c>
    </row>
    <row r="19" spans="1:8" x14ac:dyDescent="0.2">
      <c r="A19" s="1" t="s">
        <v>92</v>
      </c>
      <c r="B19">
        <v>2</v>
      </c>
      <c r="C19" s="1" t="s">
        <v>206</v>
      </c>
      <c r="D19" s="1" t="s">
        <v>93</v>
      </c>
      <c r="E19" s="1" t="s">
        <v>94</v>
      </c>
      <c r="F19" s="1" t="s">
        <v>22</v>
      </c>
      <c r="G19" s="1" t="s">
        <v>201</v>
      </c>
      <c r="H19" s="1" t="s">
        <v>95</v>
      </c>
    </row>
    <row r="20" spans="1:8" x14ac:dyDescent="0.2">
      <c r="A20" s="1" t="s">
        <v>96</v>
      </c>
      <c r="B20">
        <v>1</v>
      </c>
      <c r="C20" s="1" t="s">
        <v>207</v>
      </c>
      <c r="D20" s="1" t="s">
        <v>97</v>
      </c>
      <c r="E20" s="1" t="s">
        <v>98</v>
      </c>
      <c r="F20" s="1" t="s">
        <v>22</v>
      </c>
      <c r="G20" s="1" t="s">
        <v>201</v>
      </c>
      <c r="H20" s="1" t="s">
        <v>95</v>
      </c>
    </row>
    <row r="21" spans="1:8" x14ac:dyDescent="0.2">
      <c r="A21" s="1" t="s">
        <v>99</v>
      </c>
      <c r="B21">
        <v>2</v>
      </c>
      <c r="C21" s="1" t="s">
        <v>208</v>
      </c>
      <c r="D21" s="1" t="s">
        <v>100</v>
      </c>
      <c r="E21" s="1" t="s">
        <v>101</v>
      </c>
      <c r="F21" s="1" t="s">
        <v>22</v>
      </c>
      <c r="G21" s="1" t="s">
        <v>201</v>
      </c>
      <c r="H21" s="1" t="s">
        <v>102</v>
      </c>
    </row>
    <row r="22" spans="1:8" x14ac:dyDescent="0.2">
      <c r="A22" s="1" t="s">
        <v>103</v>
      </c>
      <c r="B22">
        <v>2</v>
      </c>
      <c r="C22" s="1" t="s">
        <v>209</v>
      </c>
      <c r="D22" s="1" t="s">
        <v>104</v>
      </c>
      <c r="E22" s="1" t="s">
        <v>105</v>
      </c>
      <c r="F22" s="1" t="s">
        <v>22</v>
      </c>
      <c r="G22" s="1" t="s">
        <v>201</v>
      </c>
      <c r="H22" s="1" t="s">
        <v>102</v>
      </c>
    </row>
    <row r="23" spans="1:8" x14ac:dyDescent="0.2">
      <c r="A23" s="1" t="s">
        <v>106</v>
      </c>
      <c r="B23">
        <v>4</v>
      </c>
      <c r="C23" s="1" t="s">
        <v>107</v>
      </c>
      <c r="D23" s="1" t="s">
        <v>108</v>
      </c>
      <c r="E23" s="1" t="s">
        <v>201</v>
      </c>
      <c r="F23" s="1" t="s">
        <v>201</v>
      </c>
      <c r="G23" s="1" t="s">
        <v>201</v>
      </c>
      <c r="H23" s="1" t="s">
        <v>109</v>
      </c>
    </row>
    <row r="24" spans="1:8" x14ac:dyDescent="0.2">
      <c r="A24" s="1" t="s">
        <v>110</v>
      </c>
      <c r="B24">
        <v>1</v>
      </c>
      <c r="C24" s="1" t="s">
        <v>111</v>
      </c>
      <c r="D24" s="1" t="s">
        <v>112</v>
      </c>
      <c r="E24" s="1" t="s">
        <v>113</v>
      </c>
      <c r="F24" s="1" t="s">
        <v>22</v>
      </c>
      <c r="G24" s="1" t="s">
        <v>114</v>
      </c>
      <c r="H24" s="1" t="s">
        <v>115</v>
      </c>
    </row>
    <row r="25" spans="1:8" x14ac:dyDescent="0.2">
      <c r="A25" s="1" t="s">
        <v>116</v>
      </c>
      <c r="B25">
        <v>1</v>
      </c>
      <c r="C25" s="1" t="s">
        <v>117</v>
      </c>
      <c r="D25" s="1" t="s">
        <v>112</v>
      </c>
      <c r="E25" s="1" t="s">
        <v>118</v>
      </c>
      <c r="F25" s="1" t="s">
        <v>22</v>
      </c>
      <c r="G25" s="1" t="s">
        <v>119</v>
      </c>
      <c r="H25" s="1" t="s">
        <v>115</v>
      </c>
    </row>
    <row r="26" spans="1:8" x14ac:dyDescent="0.2">
      <c r="A26" s="1" t="s">
        <v>120</v>
      </c>
      <c r="B26">
        <v>3</v>
      </c>
      <c r="C26" s="1" t="s">
        <v>121</v>
      </c>
      <c r="D26" s="1" t="s">
        <v>122</v>
      </c>
      <c r="E26" s="1" t="s">
        <v>123</v>
      </c>
      <c r="F26" s="1" t="s">
        <v>22</v>
      </c>
      <c r="G26" s="1" t="s">
        <v>124</v>
      </c>
      <c r="H26" s="1" t="s">
        <v>125</v>
      </c>
    </row>
    <row r="27" spans="1:8" x14ac:dyDescent="0.2">
      <c r="A27" s="1" t="s">
        <v>126</v>
      </c>
      <c r="B27">
        <v>2</v>
      </c>
      <c r="C27" s="1" t="s">
        <v>127</v>
      </c>
      <c r="D27" s="1" t="s">
        <v>128</v>
      </c>
      <c r="E27" s="1" t="s">
        <v>129</v>
      </c>
      <c r="F27" s="1" t="s">
        <v>22</v>
      </c>
      <c r="G27" s="1" t="s">
        <v>210</v>
      </c>
      <c r="H27" s="1" t="s">
        <v>130</v>
      </c>
    </row>
    <row r="28" spans="1:8" x14ac:dyDescent="0.2">
      <c r="A28" s="1" t="s">
        <v>131</v>
      </c>
      <c r="B28">
        <v>3</v>
      </c>
      <c r="C28" s="1" t="s">
        <v>132</v>
      </c>
      <c r="D28" s="1" t="s">
        <v>133</v>
      </c>
      <c r="E28" s="1" t="s">
        <v>134</v>
      </c>
      <c r="F28" s="1" t="s">
        <v>22</v>
      </c>
      <c r="G28" s="1" t="s">
        <v>211</v>
      </c>
      <c r="H28" s="1" t="s">
        <v>130</v>
      </c>
    </row>
    <row r="29" spans="1:8" x14ac:dyDescent="0.2">
      <c r="A29" s="1" t="s">
        <v>135</v>
      </c>
      <c r="B29">
        <v>2</v>
      </c>
      <c r="C29" s="1" t="s">
        <v>136</v>
      </c>
      <c r="D29" s="1" t="s">
        <v>133</v>
      </c>
      <c r="E29" s="1" t="s">
        <v>137</v>
      </c>
      <c r="F29" s="1" t="s">
        <v>22</v>
      </c>
      <c r="G29" s="1" t="s">
        <v>212</v>
      </c>
      <c r="H29" s="1" t="s">
        <v>130</v>
      </c>
    </row>
    <row r="30" spans="1:8" x14ac:dyDescent="0.2">
      <c r="A30" s="1" t="s">
        <v>138</v>
      </c>
      <c r="B30">
        <v>3</v>
      </c>
      <c r="C30" s="1" t="s">
        <v>139</v>
      </c>
      <c r="D30" s="1" t="s">
        <v>128</v>
      </c>
      <c r="E30" s="1" t="s">
        <v>140</v>
      </c>
      <c r="F30" s="1" t="s">
        <v>22</v>
      </c>
      <c r="G30" s="1" t="s">
        <v>213</v>
      </c>
      <c r="H30" s="1" t="s">
        <v>130</v>
      </c>
    </row>
    <row r="31" spans="1:8" x14ac:dyDescent="0.2">
      <c r="A31" s="1" t="s">
        <v>141</v>
      </c>
      <c r="B31">
        <v>4</v>
      </c>
      <c r="C31" s="1" t="s">
        <v>142</v>
      </c>
      <c r="D31" s="1" t="s">
        <v>133</v>
      </c>
      <c r="E31" s="1" t="s">
        <v>143</v>
      </c>
      <c r="F31" s="1" t="s">
        <v>22</v>
      </c>
      <c r="G31" s="1" t="s">
        <v>214</v>
      </c>
      <c r="H31" s="1" t="s">
        <v>130</v>
      </c>
    </row>
    <row r="32" spans="1:8" x14ac:dyDescent="0.2">
      <c r="A32" s="1" t="s">
        <v>144</v>
      </c>
      <c r="B32">
        <v>1</v>
      </c>
      <c r="C32" s="1" t="s">
        <v>145</v>
      </c>
      <c r="D32" s="1" t="s">
        <v>146</v>
      </c>
      <c r="E32" s="1" t="s">
        <v>147</v>
      </c>
      <c r="F32" s="1" t="s">
        <v>22</v>
      </c>
      <c r="G32" s="1" t="s">
        <v>215</v>
      </c>
      <c r="H32" s="1" t="s">
        <v>130</v>
      </c>
    </row>
    <row r="33" spans="1:8" x14ac:dyDescent="0.2">
      <c r="A33" s="1" t="s">
        <v>148</v>
      </c>
      <c r="B33">
        <v>1</v>
      </c>
      <c r="C33" s="1" t="s">
        <v>149</v>
      </c>
      <c r="D33" s="1" t="s">
        <v>150</v>
      </c>
      <c r="E33" s="1" t="s">
        <v>151</v>
      </c>
      <c r="F33" s="1" t="s">
        <v>22</v>
      </c>
      <c r="G33" s="1" t="s">
        <v>216</v>
      </c>
      <c r="H33" s="1" t="s">
        <v>130</v>
      </c>
    </row>
    <row r="34" spans="1:8" x14ac:dyDescent="0.2">
      <c r="A34" s="1" t="s">
        <v>152</v>
      </c>
      <c r="B34">
        <v>4</v>
      </c>
      <c r="C34" s="1" t="s">
        <v>153</v>
      </c>
      <c r="D34" s="1" t="s">
        <v>133</v>
      </c>
      <c r="E34" s="1" t="s">
        <v>154</v>
      </c>
      <c r="F34" s="1" t="s">
        <v>22</v>
      </c>
      <c r="G34" s="1" t="s">
        <v>217</v>
      </c>
      <c r="H34" s="1" t="s">
        <v>130</v>
      </c>
    </row>
    <row r="35" spans="1:8" x14ac:dyDescent="0.2">
      <c r="A35" s="1" t="s">
        <v>155</v>
      </c>
      <c r="B35">
        <v>4</v>
      </c>
      <c r="C35" s="1" t="s">
        <v>156</v>
      </c>
      <c r="D35" s="1" t="s">
        <v>146</v>
      </c>
      <c r="E35" s="1" t="s">
        <v>157</v>
      </c>
      <c r="F35" s="1" t="s">
        <v>22</v>
      </c>
      <c r="G35" s="1" t="s">
        <v>218</v>
      </c>
      <c r="H35" s="1" t="s">
        <v>130</v>
      </c>
    </row>
    <row r="36" spans="1:8" x14ac:dyDescent="0.2">
      <c r="A36" s="1" t="s">
        <v>158</v>
      </c>
      <c r="B36">
        <v>8</v>
      </c>
      <c r="C36" s="1" t="s">
        <v>159</v>
      </c>
      <c r="D36" s="1" t="s">
        <v>128</v>
      </c>
      <c r="E36" s="1" t="s">
        <v>160</v>
      </c>
      <c r="F36" s="1" t="s">
        <v>22</v>
      </c>
      <c r="G36" s="1" t="s">
        <v>219</v>
      </c>
      <c r="H36" s="1" t="s">
        <v>130</v>
      </c>
    </row>
    <row r="37" spans="1:8" x14ac:dyDescent="0.2">
      <c r="A37" s="1" t="s">
        <v>161</v>
      </c>
      <c r="B37">
        <v>4</v>
      </c>
      <c r="C37" s="1" t="s">
        <v>159</v>
      </c>
      <c r="D37" s="1" t="s">
        <v>128</v>
      </c>
      <c r="E37" s="1" t="s">
        <v>160</v>
      </c>
      <c r="F37" s="1" t="s">
        <v>22</v>
      </c>
      <c r="G37" s="1" t="s">
        <v>219</v>
      </c>
      <c r="H37" s="1" t="s">
        <v>130</v>
      </c>
    </row>
    <row r="38" spans="1:8" x14ac:dyDescent="0.2">
      <c r="A38" s="1" t="s">
        <v>162</v>
      </c>
      <c r="B38">
        <v>1</v>
      </c>
      <c r="C38" s="1" t="s">
        <v>163</v>
      </c>
      <c r="D38" s="1" t="s">
        <v>164</v>
      </c>
      <c r="E38" s="1" t="s">
        <v>165</v>
      </c>
      <c r="F38" s="1" t="s">
        <v>201</v>
      </c>
      <c r="G38" s="1" t="s">
        <v>201</v>
      </c>
      <c r="H38" s="1" t="s">
        <v>166</v>
      </c>
    </row>
    <row r="39" spans="1:8" x14ac:dyDescent="0.2">
      <c r="A39" s="1" t="s">
        <v>167</v>
      </c>
      <c r="B39">
        <v>1</v>
      </c>
      <c r="C39" s="1" t="s">
        <v>168</v>
      </c>
      <c r="D39" s="1" t="s">
        <v>169</v>
      </c>
      <c r="E39" s="1" t="s">
        <v>170</v>
      </c>
      <c r="F39" s="1" t="s">
        <v>201</v>
      </c>
      <c r="G39" s="1" t="s">
        <v>201</v>
      </c>
      <c r="H39" s="1" t="s">
        <v>201</v>
      </c>
    </row>
    <row r="40" spans="1:8" x14ac:dyDescent="0.2">
      <c r="A40" s="1" t="s">
        <v>171</v>
      </c>
      <c r="B40">
        <v>1</v>
      </c>
      <c r="C40" s="1" t="s">
        <v>172</v>
      </c>
      <c r="D40" s="1" t="s">
        <v>173</v>
      </c>
      <c r="E40" s="1" t="s">
        <v>174</v>
      </c>
      <c r="F40" s="1" t="s">
        <v>84</v>
      </c>
      <c r="G40" s="1" t="s">
        <v>201</v>
      </c>
      <c r="H40" s="1" t="s">
        <v>175</v>
      </c>
    </row>
    <row r="41" spans="1:8" x14ac:dyDescent="0.2">
      <c r="A41" s="1" t="s">
        <v>176</v>
      </c>
      <c r="B41">
        <v>1</v>
      </c>
      <c r="C41" s="1" t="s">
        <v>177</v>
      </c>
      <c r="D41" s="1" t="s">
        <v>178</v>
      </c>
      <c r="E41" s="1" t="s">
        <v>201</v>
      </c>
      <c r="F41" s="1" t="s">
        <v>84</v>
      </c>
      <c r="G41" s="1" t="s">
        <v>201</v>
      </c>
      <c r="H41" s="1" t="s">
        <v>179</v>
      </c>
    </row>
    <row r="42" spans="1:8" x14ac:dyDescent="0.2">
      <c r="A42" s="1" t="s">
        <v>180</v>
      </c>
      <c r="B42">
        <v>1</v>
      </c>
      <c r="C42" s="1" t="s">
        <v>220</v>
      </c>
      <c r="D42" s="1" t="s">
        <v>181</v>
      </c>
      <c r="E42" s="1" t="s">
        <v>182</v>
      </c>
      <c r="F42" s="1" t="s">
        <v>22</v>
      </c>
      <c r="G42" s="1" t="s">
        <v>201</v>
      </c>
      <c r="H42" s="1" t="s">
        <v>79</v>
      </c>
    </row>
    <row r="43" spans="1:8" x14ac:dyDescent="0.2">
      <c r="A43" s="1" t="s">
        <v>183</v>
      </c>
      <c r="B43">
        <v>1</v>
      </c>
      <c r="C43" s="1" t="s">
        <v>184</v>
      </c>
      <c r="D43" s="1" t="s">
        <v>185</v>
      </c>
      <c r="E43" s="1" t="s">
        <v>186</v>
      </c>
      <c r="F43" s="1" t="s">
        <v>22</v>
      </c>
      <c r="G43" s="1" t="s">
        <v>221</v>
      </c>
      <c r="H43" s="1" t="s">
        <v>187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5D13E5-6F3A-C142-992A-9DF6BBD8DA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Bestellliste</vt:lpstr>
      <vt:lpstr>Kostenübersicht</vt:lpstr>
      <vt:lpstr>Bom_Rohdaten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Denz</dc:creator>
  <cp:lastModifiedBy>Luca Denz</cp:lastModifiedBy>
  <dcterms:created xsi:type="dcterms:W3CDTF">2026-06-06T14:26:53Z</dcterms:created>
  <dcterms:modified xsi:type="dcterms:W3CDTF">2026-06-07T15:11:21Z</dcterms:modified>
</cp:coreProperties>
</file>