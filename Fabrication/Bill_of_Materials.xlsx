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6e8db53ab5f331/2_Studium/6_Semester/Projektarbeit_Schwebekugel/Repulsive_Maglev/Fabrication/"/>
    </mc:Choice>
  </mc:AlternateContent>
  <xr:revisionPtr revIDLastSave="422" documentId="8_{7AD02514-981A-9741-A5CA-7CC60732D2C0}" xr6:coauthVersionLast="47" xr6:coauthVersionMax="47" xr10:uidLastSave="{3A1085C9-7DFA-C648-B604-A2B70638C908}"/>
  <bookViews>
    <workbookView xWindow="0" yWindow="660" windowWidth="29400" windowHeight="18460" xr2:uid="{BED3C4AC-0CAB-BA4E-99DF-75190D7644EC}"/>
  </bookViews>
  <sheets>
    <sheet name="Bestellliste" sheetId="1" r:id="rId1"/>
    <sheet name="tbl_Kicad_Rohdaten" sheetId="3" r:id="rId2"/>
  </sheets>
  <definedNames>
    <definedName name="ExterneDaten_1" localSheetId="1" hidden="1">tbl_Kicad_Rohdaten!$A$1:$G$42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1" l="1"/>
  <c r="P49" i="1" s="1"/>
  <c r="L41" i="1"/>
  <c r="M41" i="1"/>
  <c r="L42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2" i="1"/>
  <c r="L21" i="1"/>
  <c r="L20" i="1"/>
  <c r="L19" i="1"/>
  <c r="L18" i="1"/>
  <c r="L17" i="1"/>
  <c r="L15" i="1"/>
  <c r="L14" i="1"/>
  <c r="L12" i="1"/>
  <c r="L11" i="1"/>
  <c r="L10" i="1"/>
  <c r="L9" i="1"/>
  <c r="L8" i="1"/>
  <c r="L7" i="1"/>
  <c r="L6" i="1"/>
  <c r="L5" i="1"/>
  <c r="L4" i="1"/>
  <c r="L3" i="1"/>
  <c r="L2" i="1"/>
  <c r="M2" i="1"/>
  <c r="M3" i="1"/>
  <c r="M4" i="1"/>
  <c r="M5" i="1"/>
  <c r="M6" i="1"/>
  <c r="M7" i="1"/>
  <c r="M8" i="1"/>
  <c r="M9" i="1"/>
  <c r="M10" i="1"/>
  <c r="M11" i="1"/>
  <c r="M12" i="1"/>
  <c r="M14" i="1"/>
  <c r="M15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42" i="1"/>
  <c r="J39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40" i="1"/>
  <c r="J41" i="1"/>
  <c r="J4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F43" i="1"/>
  <c r="P43" i="1" s="1"/>
  <c r="F44" i="1"/>
  <c r="P44" i="1" s="1"/>
  <c r="F45" i="1"/>
  <c r="P45" i="1" s="1"/>
  <c r="F46" i="1"/>
  <c r="P46" i="1" s="1"/>
  <c r="F47" i="1"/>
  <c r="P47" i="1" s="1"/>
  <c r="F48" i="1"/>
  <c r="P48" i="1" s="1"/>
  <c r="D2" i="1"/>
  <c r="F2" i="1" s="1"/>
  <c r="P2" i="1" s="1"/>
  <c r="D3" i="1"/>
  <c r="F3" i="1" s="1"/>
  <c r="P3" i="1" s="1"/>
  <c r="D4" i="1"/>
  <c r="F4" i="1" s="1"/>
  <c r="D5" i="1"/>
  <c r="F5" i="1" s="1"/>
  <c r="D6" i="1"/>
  <c r="F6" i="1" s="1"/>
  <c r="P6" i="1" s="1"/>
  <c r="D7" i="1"/>
  <c r="F7" i="1" s="1"/>
  <c r="P7" i="1" s="1"/>
  <c r="D8" i="1"/>
  <c r="F8" i="1" s="1"/>
  <c r="P8" i="1" s="1"/>
  <c r="D9" i="1"/>
  <c r="F9" i="1" s="1"/>
  <c r="P9" i="1" s="1"/>
  <c r="D10" i="1"/>
  <c r="F10" i="1" s="1"/>
  <c r="P10" i="1" s="1"/>
  <c r="D11" i="1"/>
  <c r="F11" i="1" s="1"/>
  <c r="P11" i="1" s="1"/>
  <c r="D12" i="1"/>
  <c r="F12" i="1" s="1"/>
  <c r="P12" i="1" s="1"/>
  <c r="D13" i="1"/>
  <c r="F13" i="1" s="1"/>
  <c r="D14" i="1"/>
  <c r="F14" i="1" s="1"/>
  <c r="D15" i="1"/>
  <c r="F15" i="1" s="1"/>
  <c r="P15" i="1" s="1"/>
  <c r="D16" i="1"/>
  <c r="F16" i="1" s="1"/>
  <c r="P16" i="1" s="1"/>
  <c r="D17" i="1"/>
  <c r="F17" i="1" s="1"/>
  <c r="P17" i="1" s="1"/>
  <c r="D18" i="1"/>
  <c r="F18" i="1" s="1"/>
  <c r="P18" i="1" s="1"/>
  <c r="D19" i="1"/>
  <c r="F19" i="1" s="1"/>
  <c r="P19" i="1" s="1"/>
  <c r="D20" i="1"/>
  <c r="F20" i="1" s="1"/>
  <c r="P20" i="1" s="1"/>
  <c r="D21" i="1"/>
  <c r="F21" i="1" s="1"/>
  <c r="P21" i="1" s="1"/>
  <c r="D22" i="1"/>
  <c r="F22" i="1" s="1"/>
  <c r="P22" i="1" s="1"/>
  <c r="D23" i="1"/>
  <c r="F23" i="1" s="1"/>
  <c r="P23" i="1" s="1"/>
  <c r="D24" i="1"/>
  <c r="F24" i="1" s="1"/>
  <c r="P24" i="1" s="1"/>
  <c r="D25" i="1"/>
  <c r="F25" i="1" s="1"/>
  <c r="P25" i="1" s="1"/>
  <c r="D26" i="1"/>
  <c r="F26" i="1" s="1"/>
  <c r="P26" i="1" s="1"/>
  <c r="D27" i="1"/>
  <c r="F27" i="1" s="1"/>
  <c r="P27" i="1" s="1"/>
  <c r="D28" i="1"/>
  <c r="F28" i="1" s="1"/>
  <c r="P28" i="1" s="1"/>
  <c r="D29" i="1"/>
  <c r="F29" i="1" s="1"/>
  <c r="P29" i="1" s="1"/>
  <c r="D30" i="1"/>
  <c r="F30" i="1" s="1"/>
  <c r="P30" i="1" s="1"/>
  <c r="D31" i="1"/>
  <c r="F31" i="1" s="1"/>
  <c r="P31" i="1" s="1"/>
  <c r="D32" i="1"/>
  <c r="F32" i="1" s="1"/>
  <c r="P32" i="1" s="1"/>
  <c r="D33" i="1"/>
  <c r="F33" i="1" s="1"/>
  <c r="P33" i="1" s="1"/>
  <c r="D34" i="1"/>
  <c r="F34" i="1" s="1"/>
  <c r="P34" i="1" s="1"/>
  <c r="D35" i="1"/>
  <c r="F35" i="1" s="1"/>
  <c r="P35" i="1" s="1"/>
  <c r="D36" i="1"/>
  <c r="F36" i="1" s="1"/>
  <c r="P36" i="1" s="1"/>
  <c r="D37" i="1"/>
  <c r="F37" i="1" s="1"/>
  <c r="P37" i="1" s="1"/>
  <c r="D38" i="1"/>
  <c r="F38" i="1" s="1"/>
  <c r="P38" i="1" s="1"/>
  <c r="D39" i="1"/>
  <c r="F39" i="1" s="1"/>
  <c r="P39" i="1" s="1"/>
  <c r="D40" i="1"/>
  <c r="F40" i="1" s="1"/>
  <c r="P40" i="1" s="1"/>
  <c r="D41" i="1"/>
  <c r="F41" i="1" s="1"/>
  <c r="P41" i="1" s="1"/>
  <c r="D42" i="1"/>
  <c r="F42" i="1" s="1"/>
  <c r="P42" i="1" s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P13" i="1" l="1"/>
  <c r="P50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419BEB-2161-6E48-91AC-2D044342CA1D}" keepAlive="1" name="Abfrage - Maglev" description="Verbindung mit der Abfrage 'Maglev' in der Arbeitsmappe." type="5" refreshedVersion="8" background="1" saveData="1">
    <dbPr connection="Provider=Microsoft.Mashup.OleDb.1;Data Source=$Workbook$;Location=Maglev;Extended Properties=&quot;&quot;" command="SELECT * FROM [Maglev]"/>
  </connection>
</connections>
</file>

<file path=xl/sharedStrings.xml><?xml version="1.0" encoding="utf-8"?>
<sst xmlns="http://schemas.openxmlformats.org/spreadsheetml/2006/main" count="426" uniqueCount="258">
  <si>
    <t>Reference</t>
  </si>
  <si>
    <t>Qty PCB</t>
  </si>
  <si>
    <t>Footprint</t>
  </si>
  <si>
    <t>Datasheet</t>
  </si>
  <si>
    <t>Manufacturer</t>
  </si>
  <si>
    <t>Part Number</t>
  </si>
  <si>
    <t>Description</t>
  </si>
  <si>
    <t>BOOT1,RESET1</t>
  </si>
  <si>
    <t>Switch_SMD_Wurth:SW_Wurth_WS-TASV_430182043816</t>
  </si>
  <si>
    <t>https://www.we-online.com/catalog/datasheet/430182043816.pdf?ki</t>
  </si>
  <si>
    <t>Wurth Elektronik</t>
  </si>
  <si>
    <t>430182043816</t>
  </si>
  <si>
    <t>SMT Tact Switch 6x6 mm</t>
  </si>
  <si>
    <t>C1,C2,C5,C9,C27,C29</t>
  </si>
  <si>
    <t>Capacitor_SMD_Wurth:C_Wurth_WCAP-CSGP-1206_H1.6</t>
  </si>
  <si>
    <t>https://www.we-online.com/catalog/datasheet/885012208093.pdf?ki</t>
  </si>
  <si>
    <t>885012208093</t>
  </si>
  <si>
    <t>MLCCs 50 V(DC) ED</t>
  </si>
  <si>
    <t>C3</t>
  </si>
  <si>
    <t>https://www.we-online.com/catalog/datasheet/885012108021.pdf?ki</t>
  </si>
  <si>
    <t>885012108021</t>
  </si>
  <si>
    <t>MLCCs 25 V(DC)</t>
  </si>
  <si>
    <t>C4,C7,C8,C10,C13,C14,C15,C16,C21,C22,C23,C24</t>
  </si>
  <si>
    <t>Capacitor_SMD_Wurth:C_Wurth_WCAP-CSGP-1206_H1.25</t>
  </si>
  <si>
    <t>https://www.we-online.com/catalog/datasheet/885012208118.pdf?ki</t>
  </si>
  <si>
    <t>885012208118</t>
  </si>
  <si>
    <t>MLCCs 100 V(DC) ED</t>
  </si>
  <si>
    <t>C6</t>
  </si>
  <si>
    <t>https://www.we-online.com/catalog/datasheet/885012008055.pdf?ki</t>
  </si>
  <si>
    <t>885012008055</t>
  </si>
  <si>
    <t>C11,C12,C19,C20</t>
  </si>
  <si>
    <t>Capacitor_SMD_Wurth:C_Wurth_WCAP-CSGP-1206_H0.8</t>
  </si>
  <si>
    <t>https://www.we-online.com/catalog/datasheet/885012208083.pdf?ki</t>
  </si>
  <si>
    <t>885012208083</t>
  </si>
  <si>
    <t>C17,C18,C25,C26</t>
  </si>
  <si>
    <t>Capacitor_SMD_Wurth:C_Wurth_WCAP-CSGP-1210_H2.5</t>
  </si>
  <si>
    <t>https://www.we-online.com/catalog/datasheet/885012109011.pdf?ki</t>
  </si>
  <si>
    <t>885012109011</t>
  </si>
  <si>
    <t>MLCCs 16 V(DC) ED</t>
  </si>
  <si>
    <t>C28</t>
  </si>
  <si>
    <t>https://www.we-online.com/catalog/datasheet/885012008001.pdf?ki</t>
  </si>
  <si>
    <t>885012008001</t>
  </si>
  <si>
    <t>MLCCs 10 V(DC) ED</t>
  </si>
  <si>
    <t>C30</t>
  </si>
  <si>
    <t>Capacitor_SMD_Wurth:C_Wurth_WCAP-CSMH-1206_H1.6</t>
  </si>
  <si>
    <t>https://www.we-online.com/catalog/datasheet/885342008003.pdf?ki</t>
  </si>
  <si>
    <t>885342008003</t>
  </si>
  <si>
    <t>MLCCS Mid and High Voltage</t>
  </si>
  <si>
    <t>C31</t>
  </si>
  <si>
    <t>https://www.we-online.com/catalog/datasheet/885012108003.pdf?ki</t>
  </si>
  <si>
    <t>885012108003</t>
  </si>
  <si>
    <t>MLCCs 6.3 V(DC) ED</t>
  </si>
  <si>
    <t>C32,C33</t>
  </si>
  <si>
    <t>Capacitor_SMD_Wurth:C_Wurth_WCAP-CSGP-0603_R</t>
  </si>
  <si>
    <t>https://www.we-online.com/catalog/datasheet/885012006002.pdf?ki</t>
  </si>
  <si>
    <t>885012006002</t>
  </si>
  <si>
    <t>EMA1,EMB1,EMC1,EMD1</t>
  </si>
  <si>
    <t>DRV8874PWPR:SOP65P640X120-17N</t>
  </si>
  <si>
    <t>https://www.ti.com/lit/ds/symlink/drv8874.pdf?ts=1781034268731&amp;ref_url=https%253A%252F%252Fwww.ti.com%252Fproduct%252Fde-de%252FDRV8874%252Fpart-details%252FDRV8874PWPR</t>
  </si>
  <si>
    <t>Texas Instruments</t>
  </si>
  <si>
    <t>DRV8874PWPR</t>
  </si>
  <si>
    <t>40-V, 6-A H-bridge motor driver with integrated current sensing feedback</t>
  </si>
  <si>
    <t>FB1</t>
  </si>
  <si>
    <t>Ferrite_SMD_Wurth:FB_Wurth_WE-CBF-0603_W2.6</t>
  </si>
  <si>
    <t>https://www.we-online.com/catalog/datasheet/742792641.pdf?ki</t>
  </si>
  <si>
    <t>742792641</t>
  </si>
  <si>
    <t>EMI Suppression Ferrite Bead, Multi-purpose Ferrite</t>
  </si>
  <si>
    <t>I2C1</t>
  </si>
  <si>
    <t>Connector_THT_Wurth:J_Wurth_WR-PHD_61300311121</t>
  </si>
  <si>
    <t>https://www.we-online.com/en/components/products/datasheet/61300311121?ki</t>
  </si>
  <si>
    <t>61300311121</t>
  </si>
  <si>
    <t>2.54 mm THT Pin Header</t>
  </si>
  <si>
    <t>IC1</t>
  </si>
  <si>
    <t>SOT230P700X180-4N</t>
  </si>
  <si>
    <t>http://www.ti.com/lit/gpn/tlv1117lv</t>
  </si>
  <si>
    <t>TLV1117LV33DCYR</t>
  </si>
  <si>
    <t>1-A, Positive Fixed Voltage, Low-Dropout Regulator</t>
  </si>
  <si>
    <t>J1</t>
  </si>
  <si>
    <t>WURTH_USB:629722000214_CUSTOM</t>
  </si>
  <si>
    <t>https://www.we-online.com/components/products/datasheet/629722000214.pdf?srsltid=AfmBOopgS1fpVqzIp88kkSziMYYixj-iXYRL22aRdxcRBDhgIMAZGuSl</t>
  </si>
  <si>
    <t>Würth Elektronik</t>
  </si>
  <si>
    <t>629722000214</t>
  </si>
  <si>
    <t>USB CONN, 2.0 TYPE C, R/A RCPT, 16P, SMT;</t>
  </si>
  <si>
    <t>J2</t>
  </si>
  <si>
    <t>691103110002:691103110002</t>
  </si>
  <si>
    <t>https://www.we-online.com/components/products/datasheet/691103110002.pdf</t>
  </si>
  <si>
    <t>Wurth Electronics</t>
  </si>
  <si>
    <t>691103110002</t>
  </si>
  <si>
    <t>Serie 1031 - 3,50mm pitch - Modular THT - Blue - Horizontal cable entry Wire Protector 8.4mm height - 02p</t>
  </si>
  <si>
    <t>J3,J6</t>
  </si>
  <si>
    <t>Connector_THT_Wurth:J_Wurth_WR-PHD_61300621121</t>
  </si>
  <si>
    <t>https://www.we-online.com/en/components/products/datasheet/61300621121?ki</t>
  </si>
  <si>
    <t>61300621121</t>
  </si>
  <si>
    <t>2.54 mm THT Dual Pin Header</t>
  </si>
  <si>
    <t>J4</t>
  </si>
  <si>
    <t>Connector_THT_Wurth:J_Wurth_WR-PHD_61300821121</t>
  </si>
  <si>
    <t>https://www.we-online.com/en/components/products/datasheet/61300821121?ki</t>
  </si>
  <si>
    <t>61300821121</t>
  </si>
  <si>
    <t>J7,J8</t>
  </si>
  <si>
    <t>Connector_THT_Wurth:J_Wurth_WR-MM_690367191672</t>
  </si>
  <si>
    <t>https://www.we-online.com/en/components/products/datasheet/690367191672?ki</t>
  </si>
  <si>
    <t>690367191672</t>
  </si>
  <si>
    <t>Female Connector with Latch &amp; w/o Polarization</t>
  </si>
  <si>
    <t>J11,J12</t>
  </si>
  <si>
    <t>Connector_THT_Wurth:J_Wurth_WR-MM_690367190672</t>
  </si>
  <si>
    <t>https://www.we-online.com/en/components/products/datasheet/690367190672?ki</t>
  </si>
  <si>
    <t>690367190672</t>
  </si>
  <si>
    <t>L1,L2,L3,L4</t>
  </si>
  <si>
    <t>CUSTOM:Electromagnet</t>
  </si>
  <si>
    <t/>
  </si>
  <si>
    <t>Electromagnetic actor</t>
  </si>
  <si>
    <t>L5</t>
  </si>
  <si>
    <t>Inductor_SMD_Wurth:L_Wurth_WE-KI-0603</t>
  </si>
  <si>
    <t>https://www.we-online.com/catalog/datasheet/744761020A.pdf?ki</t>
  </si>
  <si>
    <t>744761020A</t>
  </si>
  <si>
    <t>Wire Wound Ceramic Inductor</t>
  </si>
  <si>
    <t>L6</t>
  </si>
  <si>
    <t>https://www.we-online.com/catalog/datasheet/744761124A.pdf?ki</t>
  </si>
  <si>
    <t>744761124A</t>
  </si>
  <si>
    <t>POWER_LED2,Status_LED_RX1,Status_LED_TX1</t>
  </si>
  <si>
    <t>LED_SMD_Wurth:D_Wurth_WL-SMCW-0603dome</t>
  </si>
  <si>
    <t>https://www.we-online.com/catalog/datasheet/150060VS86000.pdf?ki</t>
  </si>
  <si>
    <t>150060VS86000</t>
  </si>
  <si>
    <t>Mono-color Chip LED Waterclear</t>
  </si>
  <si>
    <t>R1,R2</t>
  </si>
  <si>
    <t>Resistor_SMD_Wurth:R_Wurth_WRIS-RSKS-0805_R</t>
  </si>
  <si>
    <t>https://www.we-online.com/catalog/datasheet/560112120019.pdf?ki</t>
  </si>
  <si>
    <t>560112120019</t>
  </si>
  <si>
    <t>Anti-Sulfur Thick Film Resistors</t>
  </si>
  <si>
    <t>R3,R4,R11</t>
  </si>
  <si>
    <t>Resistor_SMD_Wurth:R_Wurth_WRIS-RSKS-1206_R</t>
  </si>
  <si>
    <t>https://www.we-online.com/catalog/datasheet/560112132018.pdf?ki</t>
  </si>
  <si>
    <t>560112132018</t>
  </si>
  <si>
    <t>R6,R7</t>
  </si>
  <si>
    <t>https://www.we-online.com/catalog/datasheet/560112132050.pdf?ki</t>
  </si>
  <si>
    <t>560112132050</t>
  </si>
  <si>
    <t>R8,R9,R10</t>
  </si>
  <si>
    <t>https://www.we-online.com/catalog/datasheet/560112120030.pdf?ki</t>
  </si>
  <si>
    <t>560112120030</t>
  </si>
  <si>
    <t>R12,R13,R16,R17</t>
  </si>
  <si>
    <t>https://www.we-online.com/catalog/datasheet/560112132019.pdf?ki</t>
  </si>
  <si>
    <t>560112132019</t>
  </si>
  <si>
    <t>R18</t>
  </si>
  <si>
    <t>Resistor_SMD_Wurth:R_Wurth_WRIS-RSKS-0603_R</t>
  </si>
  <si>
    <t>https://www.we-online.com/catalog/datasheet/560112116101.pdf?ki</t>
  </si>
  <si>
    <t>560112116101</t>
  </si>
  <si>
    <t>R19</t>
  </si>
  <si>
    <t>Resistor_SMD_Wurth:R_Wurth_WRIS-RSKS-0402</t>
  </si>
  <si>
    <t>https://www.we-online.com/catalog/datasheet/560112110016.pdf?ki</t>
  </si>
  <si>
    <t>560112110016</t>
  </si>
  <si>
    <t>R20,R25,R30,R35</t>
  </si>
  <si>
    <t>https://www.we-online.com/catalog/datasheet/560112132041.pdf?ki</t>
  </si>
  <si>
    <t>560112132041</t>
  </si>
  <si>
    <t>R21,R26,R31,R36</t>
  </si>
  <si>
    <t>https://www.we-online.com/catalog/datasheet/560112116048.pdf?ki</t>
  </si>
  <si>
    <t>560112116048</t>
  </si>
  <si>
    <t>R22,R23,R24,R27,R28,R29,R32,R33,R34,R37,R38,R39</t>
  </si>
  <si>
    <t>https://www.we-online.com/catalog/datasheet/560112120002.pdf?ki</t>
  </si>
  <si>
    <t>560112120002</t>
  </si>
  <si>
    <t>U1</t>
  </si>
  <si>
    <t>Package_TO_SOT_SMD:SOT-23-6</t>
  </si>
  <si>
    <t>https://www.we-online.com/components/products/datasheet/82400102.pdf</t>
  </si>
  <si>
    <t>82400102</t>
  </si>
  <si>
    <t>Low Capacitance TVS Diode Array, 2 Channels, SOT-23-6</t>
  </si>
  <si>
    <t>U2</t>
  </si>
  <si>
    <t>Package_DFN_QFN:QFN-32-1EP_5x5mm_P0.5mm_EP3.45x3.45mm</t>
  </si>
  <si>
    <t>https://www.espressif.com/sites/default/files/documentation/esp32-c3_datasheet_en.pdf</t>
  </si>
  <si>
    <t>Espressif</t>
  </si>
  <si>
    <t>U4</t>
  </si>
  <si>
    <t>SOT95P280X145-6N:SOT95P280X145-6N</t>
  </si>
  <si>
    <t>https://www.ti.com/lit/gpn/tmag5273</t>
  </si>
  <si>
    <t>TMAG5173A2QDBVRQ1</t>
  </si>
  <si>
    <t>Automotive, high-precision, linear 3D Hall-effect sensor with I²C interface</t>
  </si>
  <si>
    <t>U5</t>
  </si>
  <si>
    <t>TPS259474ARPWR:IC_TPS259474ARPWR</t>
  </si>
  <si>
    <t>https://www.ti.com/lit/ds/symlink/tps25947.pdf?ts=1781078698487&amp;ref_url=https%253A%252F%252Fwww.ti.com%252Fcompare-products%252F%253Fid%253D422%2526type%253DGPT%2526mode%253Dalternate-gpn%2526partList%253DLM7310%252CTPS25947%2526sticky%253Dtrue</t>
  </si>
  <si>
    <t>TPS259474ARPWR</t>
  </si>
  <si>
    <t>2.7-V to 23-V, 28-mΩ, 5.5-A eFuse with integrated reverse polarity protection</t>
  </si>
  <si>
    <t>UART1</t>
  </si>
  <si>
    <t>Connector_THT_Wurth:J_Wurth_WR-PHD_61300211121</t>
  </si>
  <si>
    <t>https://www.we-online.com/en/components/products/datasheet/61300211121?ki</t>
  </si>
  <si>
    <t>61300211121</t>
  </si>
  <si>
    <t>Y1</t>
  </si>
  <si>
    <t>Crystal_SMD_Wurth:Y_Wurth_WE-XTAL_Quartz-IQXC-42</t>
  </si>
  <si>
    <t>https://www.we-online.com/catalog/datasheet/830108213209.pdf?ki</t>
  </si>
  <si>
    <t>830108213209</t>
  </si>
  <si>
    <t>Quartz Crystal ED</t>
  </si>
  <si>
    <t>Pos</t>
  </si>
  <si>
    <t>Category</t>
  </si>
  <si>
    <t>Qty Reserve</t>
  </si>
  <si>
    <t>Qty Order</t>
  </si>
  <si>
    <t>Datasheet (click Name)</t>
  </si>
  <si>
    <t>Supplier</t>
  </si>
  <si>
    <t>Supplier Part Number</t>
  </si>
  <si>
    <t>Order Link</t>
  </si>
  <si>
    <t>Unit Price</t>
  </si>
  <si>
    <t>Total Price</t>
  </si>
  <si>
    <t>Ordered?</t>
  </si>
  <si>
    <t>Delivered?</t>
  </si>
  <si>
    <t>Comment</t>
  </si>
  <si>
    <t>Switch</t>
  </si>
  <si>
    <t>Capacitor</t>
  </si>
  <si>
    <t>H-Bridge</t>
  </si>
  <si>
    <t>Ferrite Bead</t>
  </si>
  <si>
    <t>Connector</t>
  </si>
  <si>
    <t>LDO Voltage Regulator</t>
  </si>
  <si>
    <t>USB-C Connector</t>
  </si>
  <si>
    <t>Terminal Block</t>
  </si>
  <si>
    <t>Coil</t>
  </si>
  <si>
    <t>Inductor</t>
  </si>
  <si>
    <t>LED</t>
  </si>
  <si>
    <t>Resistor</t>
  </si>
  <si>
    <t>TVS diode</t>
  </si>
  <si>
    <t>Microcontroller</t>
  </si>
  <si>
    <t>3D-Hallsensor</t>
  </si>
  <si>
    <t>eFuse</t>
  </si>
  <si>
    <t>Crystal</t>
  </si>
  <si>
    <t>Anzahl Platinen:</t>
  </si>
  <si>
    <t xml:space="preserve">ESP32-C3 </t>
  </si>
  <si>
    <t>Ribbon Cable 6-pin</t>
  </si>
  <si>
    <t>Ribbon Cable 16-pin</t>
  </si>
  <si>
    <t>Cylinder Head Screw</t>
  </si>
  <si>
    <t>Lock Nuts</t>
  </si>
  <si>
    <t>63910615521CAB</t>
  </si>
  <si>
    <t>63911615521CAB</t>
  </si>
  <si>
    <t>WR-CAB Flat Ribbon Cable, 6-pin, 1.27mm pitch</t>
  </si>
  <si>
    <t>WR-CAB Flat Ribbon Cable, 16-pin, 1.27mm pitch</t>
  </si>
  <si>
    <t>Steel Spacer 20mm</t>
  </si>
  <si>
    <t>S1,S2,S3,S4</t>
  </si>
  <si>
    <t>S5,S6,S7,S8</t>
  </si>
  <si>
    <t>Cylinder Head Screw DIN 7984 M3x8</t>
  </si>
  <si>
    <t>WA-SSTII Steel Spacer Stud, metric, internal/internal</t>
  </si>
  <si>
    <t>WA-HEX Hexagonal Lock Nuts for D-Sub</t>
  </si>
  <si>
    <t>Gesamtpreis:</t>
  </si>
  <si>
    <t>n.v.</t>
  </si>
  <si>
    <t>Amazon</t>
  </si>
  <si>
    <t>Magnet Ring</t>
  </si>
  <si>
    <t>S5,S6,S7,S8,L1,L2,L3,L4</t>
  </si>
  <si>
    <t>Magnet Ring 50mm</t>
  </si>
  <si>
    <t>Mouser Electronics</t>
  </si>
  <si>
    <t>https://www.digikey.de/de/products/detail/texas-instruments/DRV8874PWPR/11502339?s=N4IgTCBcDaICICUBqAOFB2ALABQOrYRAF0BfIA</t>
  </si>
  <si>
    <t>DigiKey</t>
  </si>
  <si>
    <t>296-DRV8874PWPRCT-ND</t>
  </si>
  <si>
    <t>https://www.digikey.de/de/products/detail/texas-instruments/TLV1117LV33DCYR/2666508?s=N4IgTCBcDaICoBkBqBGNB2ZBmLARAwgJoBKIAugL5A</t>
  </si>
  <si>
    <t>296-28778-1-ND (3)</t>
  </si>
  <si>
    <t>https://www.mouser.de/ProductDetail/Texas-Instruments/TMAG5173B2QDBVRQ1?qs=iLKYxzqNS74KwZhA3G5P0Q==&amp;utm_id=22433149151&amp;utm_source=google&amp;utm_medium=cpc&amp;utm_marketing_tactic=emeacorp&amp;gad_source=1&amp;gad_campaignid=22426713531&amp;gbraid=0AAAAADn_wf0-jz2L3MSs0GGfaMKYTELoz&amp;gclid=Cj0KCQjwlqTRBhCBARIsANrkrxiH_egkO0jIEILKn8VKWsx20FYf5MORkePYtorPR3eInyKRL3lb6FgaAgOzEALw_wcB</t>
  </si>
  <si>
    <t>595-TMAG5173B2QDBRQ1</t>
  </si>
  <si>
    <t>https://www.digikey.de/de/products/detail/texas-instruments/TPS259474ARPWR/14124024?s=N4IgTCBcDaICoAUDKYCsBOALAdkwQQCUEB1AkAXQF8g</t>
  </si>
  <si>
    <t>296-TPS259474ARPWRCT-ND</t>
  </si>
  <si>
    <t>https://www.we-online.com/de?srsltid=AfmBOoq61gZ_CA56AE41aBT6s_dCWH98NNFLsv8URlrYH9DsDS603M3t</t>
  </si>
  <si>
    <t>Datasheet RibbonCable</t>
  </si>
  <si>
    <t>DataSheet Spacer</t>
  </si>
  <si>
    <t>Steel Spacer 10mm</t>
  </si>
  <si>
    <t>Datasheet Spacer</t>
  </si>
  <si>
    <t>Datasheet Lock Nut</t>
  </si>
  <si>
    <t>https://www.mouser.de/ProductDetail/Espressif-Systems/ESP32-C3FH4?qs=iLbezkQI%252BsgL5PSvEueYlQ==&amp;mgh=1&amp;vip=1&amp;utm_id=20979042631&amp;utm_source=google&amp;utm_medium=cpc&amp;utm_marketing_tactic=emeacorp&amp;gad_source=1&amp;gad_campaignid=20975737652&amp;gbraid=0AAAAADn_wf2UblcwjSJorOxUbOzZ7jwgs&amp;gclid=CjwKCAjwuanRBhBSEiwAY5y6V1S9GD2eXae0iaxpMaOjz1BOryKPy6LJ7eYUuMVZV7Pbaq8qcUgkFBoCOL8QAvD_BwE</t>
  </si>
  <si>
    <t>356-ESP32-C3FH4</t>
  </si>
  <si>
    <t>ESP32-C3FH4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</si>
</sst>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u/>
      <sz val="12"/>
      <color theme="3" tint="0.249977111117893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20"/>
      <color theme="1"/>
      <name val="Aptos Narrow (Textkörper)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1" fontId="2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center" vertical="top"/>
    </xf>
    <xf numFmtId="0" fontId="7" fillId="0" borderId="0" xfId="0" applyFont="1"/>
    <xf numFmtId="44" fontId="0" fillId="0" borderId="0" xfId="1" applyFont="1"/>
    <xf numFmtId="164" fontId="3" fillId="0" borderId="0" xfId="1" applyNumberFormat="1" applyFont="1" applyAlignment="1">
      <alignment horizontal="center" vertical="top"/>
    </xf>
    <xf numFmtId="164" fontId="2" fillId="0" borderId="0" xfId="1" applyNumberFormat="1" applyFont="1" applyAlignment="1">
      <alignment horizontal="center" vertical="top"/>
    </xf>
    <xf numFmtId="164" fontId="0" fillId="0" borderId="0" xfId="1" applyNumberFormat="1" applyFont="1"/>
    <xf numFmtId="0" fontId="8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0" fillId="3" borderId="0" xfId="0" applyFill="1"/>
    <xf numFmtId="0" fontId="6" fillId="3" borderId="3" xfId="0" applyFont="1" applyFill="1" applyBorder="1"/>
    <xf numFmtId="0" fontId="6" fillId="3" borderId="4" xfId="0" applyFont="1" applyFill="1" applyBorder="1"/>
    <xf numFmtId="0" fontId="9" fillId="3" borderId="3" xfId="0" applyFont="1" applyFill="1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0" xfId="2"/>
    <xf numFmtId="0" fontId="10" fillId="0" borderId="0" xfId="2" applyNumberFormat="1"/>
    <xf numFmtId="164" fontId="6" fillId="3" borderId="4" xfId="0" applyNumberFormat="1" applyFont="1" applyFill="1" applyBorder="1"/>
  </cellXfs>
  <cellStyles count="3">
    <cellStyle name="Link" xfId="2" builtinId="8"/>
    <cellStyle name="Standard" xfId="0" builtinId="0"/>
    <cellStyle name="Währung" xfId="1" builtinId="4"/>
  </cellStyles>
  <dxfs count="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_-* #,##0.00\ [$€-407]_-;\-* #,##0.00\ [$€-407]_-;_-* &quot;-&quot;??\ [$€-407]_-;_-@_-"/>
    </dxf>
    <dxf>
      <numFmt numFmtId="164" formatCode="_-* #,##0.00\ [$€-407]_-;\-* #,##0.00\ [$€-407]_-;_-* &quot;-&quot;??\ [$€-407]_-;_-@_-"/>
    </dxf>
    <dxf>
      <numFmt numFmtId="0" formatCode="General"/>
    </dxf>
    <dxf>
      <alignment horizontal="left" vertical="top" textRotation="0" wrapText="0" indent="0" justifyLastLine="0" shrinkToFit="0" readingOrder="0"/>
    </dxf>
    <dxf>
      <font>
        <strike val="0"/>
        <outline val="0"/>
        <shadow val="0"/>
        <u/>
        <vertAlign val="baseline"/>
        <sz val="12"/>
        <color theme="3" tint="0.249977111117893"/>
        <name val="Aptos Narrow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C5A926C-2D85-EE47-94E1-C81F662C849F}" autoFormatId="16" applyNumberFormats="0" applyBorderFormats="0" applyFontFormats="0" applyPatternFormats="0" applyAlignmentFormats="0" applyWidthHeightFormats="0">
  <queryTableRefresh nextId="8">
    <queryTableFields count="7">
      <queryTableField id="1" name="Reference" tableColumnId="1"/>
      <queryTableField id="2" name="Qty PCB" tableColumnId="2"/>
      <queryTableField id="3" name="Footprint" tableColumnId="3"/>
      <queryTableField id="4" name="Datasheet" tableColumnId="4"/>
      <queryTableField id="5" name="Manufacturer" tableColumnId="5"/>
      <queryTableField id="6" name="Part Number" tableColumnId="6"/>
      <queryTableField id="7" name="Description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DA2FE7-C851-2045-A9AC-27DFE7F7D0F6}" name="Tabelle2" displayName="Tabelle2" ref="A1:S49" totalsRowShown="0" headerRowDxfId="25">
  <autoFilter ref="A1:S49" xr:uid="{46DA2FE7-C851-2045-A9AC-27DFE7F7D0F6}"/>
  <tableColumns count="19">
    <tableColumn id="1" xr3:uid="{6DED3168-72C4-164A-A076-8F5B7C9E0DC3}" name="Pos" dataDxfId="24"/>
    <tableColumn id="2" xr3:uid="{D8F58377-7651-344F-B41B-0CF4A70DC89E}" name="Category"/>
    <tableColumn id="3" xr3:uid="{D9017233-7703-2B4A-8CDA-53BD454B0657}" name="Reference" dataDxfId="23">
      <calculatedColumnFormula>tbl_Rohdaten[[#This Row],[Reference]]</calculatedColumnFormula>
    </tableColumn>
    <tableColumn id="4" xr3:uid="{A24A5499-9066-CB48-AB3E-A358F3B92959}" name="Qty PCB" dataDxfId="22">
      <calculatedColumnFormula>tbl_Rohdaten[[#This Row],[Qty PCB]]</calculatedColumnFormula>
    </tableColumn>
    <tableColumn id="5" xr3:uid="{7CA01066-3A74-5C4F-A398-25DC5369B779}" name="Qty Reserve"/>
    <tableColumn id="6" xr3:uid="{0C3F272A-C10B-5743-B9D0-63EB23216050}" name="Qty Order" dataDxfId="21">
      <calculatedColumnFormula>(Tabelle2[[#This Row],[Qty PCB]]+Tabelle2[[#This Row],[Qty Reserve]])*$F$50</calculatedColumnFormula>
    </tableColumn>
    <tableColumn id="7" xr3:uid="{BF61E103-26CA-9044-8C74-0FAD1B869BD1}" name="Manufacturer" dataDxfId="20">
      <calculatedColumnFormula>tbl_Rohdaten[[#This Row],[Manufacturer]]</calculatedColumnFormula>
    </tableColumn>
    <tableColumn id="8" xr3:uid="{1CB5886B-AD45-1B45-A0B2-6118F1058E24}" name="Part Number" dataDxfId="19">
      <calculatedColumnFormula>tbl_Rohdaten[[#This Row],[Part Number]]</calculatedColumnFormula>
    </tableColumn>
    <tableColumn id="9" xr3:uid="{8D0E855C-35D8-A747-854D-5FA0E265D894}" name="Footprint" dataDxfId="18">
      <calculatedColumnFormula>tbl_Rohdaten[[#This Row],[Footprint]]</calculatedColumnFormula>
    </tableColumn>
    <tableColumn id="11" xr3:uid="{F98E706F-6B9E-B44F-B6DC-1D0BD50D67CD}" name="Description" dataDxfId="17">
      <calculatedColumnFormula>tbl_Rohdaten[[#This Row],[Description]]</calculatedColumnFormula>
    </tableColumn>
    <tableColumn id="12" xr3:uid="{C1018928-DA9E-ED48-B92B-8B7CBBBB3F98}" name="Datasheet (click Name)" dataDxfId="16">
      <calculatedColumnFormula>IF(tbl_Rohdaten[[#This Row],[Datasheet]]="","",HYPERLINK(tbl_Rohdaten[[#This Row],[Datasheet]],"Datasheet "&amp;Tabelle2[[#This Row],[Category]]))</calculatedColumnFormula>
    </tableColumn>
    <tableColumn id="13" xr3:uid="{8C5C12B9-4DBF-F742-9E41-A9BEB244B71B}" name="Supplier" dataDxfId="15"/>
    <tableColumn id="14" xr3:uid="{F0CB275F-8C0C-804E-83ED-4FD016585B19}" name="Supplier Part Number" dataDxfId="14">
      <calculatedColumnFormula>tbl_Rohdaten[[#This Row],[Part Number]]</calculatedColumnFormula>
    </tableColumn>
    <tableColumn id="15" xr3:uid="{6C29B63D-D949-794A-9B70-7472262B1E5E}" name="Order Link"/>
    <tableColumn id="16" xr3:uid="{2D3138F0-6921-E548-A373-D9D770C19548}" name="Unit Price" dataDxfId="13" dataCellStyle="Währung"/>
    <tableColumn id="17" xr3:uid="{3985D7F3-FE3F-1D44-9A3F-884AFF9DFEE1}" name="Total Price" dataDxfId="12" dataCellStyle="Währung">
      <calculatedColumnFormula>Tabelle2[[#This Row],[Unit Price]]*Tabelle2[[#This Row],[Qty Order]]</calculatedColumnFormula>
    </tableColumn>
    <tableColumn id="18" xr3:uid="{0979B30A-B3F2-5B4F-B1FD-4C386FF79041}" name="Ordered?" dataDxfId="11"/>
    <tableColumn id="19" xr3:uid="{3FD67A24-681B-6040-B605-2DA495EFB513}" name="Delivered?" dataDxfId="10"/>
    <tableColumn id="20" xr3:uid="{EF632984-A5D6-AC4E-8FF4-3158945A5E97}" name="Comment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5C666E-D497-6440-9777-0827F588E9BA}" name="tbl_Rohdaten" displayName="tbl_Rohdaten" ref="A1:G42" tableType="queryTable" totalsRowShown="0">
  <autoFilter ref="A1:G42" xr:uid="{065C666E-D497-6440-9777-0827F588E9BA}"/>
  <tableColumns count="7">
    <tableColumn id="1" xr3:uid="{B195F800-FE90-C549-969D-55839ADED2A8}" uniqueName="1" name="Reference" queryTableFieldId="1" dataDxfId="9"/>
    <tableColumn id="2" xr3:uid="{6FC795A8-1A84-424C-8CD0-29A281347C50}" uniqueName="2" name="Qty PCB" queryTableFieldId="2"/>
    <tableColumn id="3" xr3:uid="{AE0DFBEF-76ED-4E4E-832E-051CC12FF7D6}" uniqueName="3" name="Footprint" queryTableFieldId="3" dataDxfId="8"/>
    <tableColumn id="4" xr3:uid="{F578ACED-D176-8F42-89A3-FF03245D9A2B}" uniqueName="4" name="Datasheet" queryTableFieldId="4" dataDxfId="7"/>
    <tableColumn id="5" xr3:uid="{16A9014D-9918-2849-95CB-0E4EB15F24E3}" uniqueName="5" name="Manufacturer" queryTableFieldId="5" dataDxfId="6"/>
    <tableColumn id="6" xr3:uid="{C2E0CB09-CF11-CC42-A74C-CF57D797CFB0}" uniqueName="6" name="Part Number" queryTableFieldId="6" dataDxfId="5"/>
    <tableColumn id="7" xr3:uid="{CD274A9B-4E38-894C-A8DB-425BAC3B4533}" uniqueName="7" name="Description" queryTableFieldId="7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e-online.com/de?srsltid=AfmBOoq61gZ_CA56AE41aBT6s_dCWH98NNFLsv8URlrYH9DsDS603M3t" TargetMode="External"/><Relationship Id="rId13" Type="http://schemas.openxmlformats.org/officeDocument/2006/relationships/hyperlink" Target="https://www.we-online.com/de?srsltid=AfmBOoq61gZ_CA56AE41aBT6s_dCWH98NNFLsv8URlrYH9DsDS603M3t" TargetMode="External"/><Relationship Id="rId18" Type="http://schemas.openxmlformats.org/officeDocument/2006/relationships/hyperlink" Target="https://www.we-online.com/components/products/datasheet/63910615521CAB.pdf" TargetMode="External"/><Relationship Id="rId3" Type="http://schemas.openxmlformats.org/officeDocument/2006/relationships/hyperlink" Target="https://www.mouser.de/ProductDetail/Texas-Instruments/TMAG5173B2QDBVRQ1?qs=iLKYxzqNS74KwZhA3G5P0Q%3D%3D&amp;utm_id=22433149151&amp;utm_source=google&amp;utm_medium=cpc&amp;utm_marketing_tactic=emeacorp&amp;gad_source=1&amp;gad_campaignid=22426713531&amp;gbraid=0AAAAADn_wf0-jz2L3MSs0GGfaMKYTELoz&amp;gclid=Cj0KCQjwlqTRBhCBARIsANrkrxiH_egkO0jIEILKn8VKWsx20FYf5MORkePYtorPR3eInyKRL3lb6FgaAgOzEALw_wcB" TargetMode="External"/><Relationship Id="rId21" Type="http://schemas.openxmlformats.org/officeDocument/2006/relationships/hyperlink" Target="https://www.we-online.com/components/products/datasheet/971100351.pdf" TargetMode="External"/><Relationship Id="rId7" Type="http://schemas.openxmlformats.org/officeDocument/2006/relationships/hyperlink" Target="https://www.we-online.com/de?srsltid=AfmBOoq61gZ_CA56AE41aBT6s_dCWH98NNFLsv8URlrYH9DsDS603M3t" TargetMode="External"/><Relationship Id="rId12" Type="http://schemas.openxmlformats.org/officeDocument/2006/relationships/hyperlink" Target="https://www.we-online.com/de?srsltid=AfmBOoq61gZ_CA56AE41aBT6s_dCWH98NNFLsv8URlrYH9DsDS603M3t" TargetMode="External"/><Relationship Id="rId17" Type="http://schemas.openxmlformats.org/officeDocument/2006/relationships/hyperlink" Target="https://www.mouser.de/ProductDetail/Espressif-Systems/ESP32-C3FH4?qs=iLbezkQI%252BsgL5PSvEueYlQ%3D%3D&amp;mgh=1&amp;vip=1&amp;utm_id=20979042631&amp;utm_source=google&amp;utm_medium=cpc&amp;utm_marketing_tactic=emeacorp&amp;gad_source=1&amp;gad_campaignid=20975737652&amp;gbraid=0AAAAADn_wf2UblcwjSJorOxUbOzZ7jwgs&amp;gclid=CjwKCAjwuanRBhBSEiwAY5y6V1S9GD2eXae0iaxpMaOjz1BOryKPy6LJ7eYUuMVZV7Pbaq8qcUgkFBoCOL8QAvD_BwE" TargetMode="External"/><Relationship Id="rId2" Type="http://schemas.openxmlformats.org/officeDocument/2006/relationships/hyperlink" Target="https://www.digikey.de/de/products/detail/texas-instruments/TLV1117LV33DCYR/2666508?s=N4IgTCBcDaICoBkBqBGNB2ZBmLARAwgJoBKIAugL5A" TargetMode="External"/><Relationship Id="rId16" Type="http://schemas.openxmlformats.org/officeDocument/2006/relationships/hyperlink" Target="https://www.we-online.com/de?srsltid=AfmBOoq61gZ_CA56AE41aBT6s_dCWH98NNFLsv8URlrYH9DsDS603M3t" TargetMode="External"/><Relationship Id="rId20" Type="http://schemas.openxmlformats.org/officeDocument/2006/relationships/hyperlink" Target="https://www.we-online.com/components/products/datasheet/970200351.pdf" TargetMode="External"/><Relationship Id="rId1" Type="http://schemas.openxmlformats.org/officeDocument/2006/relationships/hyperlink" Target="https://www.digikey.de/de/products/detail/texas-instruments/DRV8874PWPR/11502339?s=N4IgTCBcDaICICUBqAOFB2ALABQOrYRAF0BfIA" TargetMode="External"/><Relationship Id="rId6" Type="http://schemas.openxmlformats.org/officeDocument/2006/relationships/hyperlink" Target="https://www.we-online.com/de?srsltid=AfmBOoq61gZ_CA56AE41aBT6s_dCWH98NNFLsv8URlrYH9DsDS603M3t" TargetMode="External"/><Relationship Id="rId11" Type="http://schemas.openxmlformats.org/officeDocument/2006/relationships/hyperlink" Target="https://www.we-online.com/de?srsltid=AfmBOoq61gZ_CA56AE41aBT6s_dCWH98NNFLsv8URlrYH9DsDS603M3t" TargetMode="External"/><Relationship Id="rId5" Type="http://schemas.openxmlformats.org/officeDocument/2006/relationships/hyperlink" Target="https://www.we-online.com/de?srsltid=AfmBOoq61gZ_CA56AE41aBT6s_dCWH98NNFLsv8URlrYH9DsDS603M3t" TargetMode="External"/><Relationship Id="rId15" Type="http://schemas.openxmlformats.org/officeDocument/2006/relationships/hyperlink" Target="https://www.we-online.com/de?srsltid=AfmBOoq61gZ_CA56AE41aBT6s_dCWH98NNFLsv8URlrYH9DsDS603M3t" TargetMode="External"/><Relationship Id="rId23" Type="http://schemas.openxmlformats.org/officeDocument/2006/relationships/table" Target="../tables/table1.xml"/><Relationship Id="rId10" Type="http://schemas.openxmlformats.org/officeDocument/2006/relationships/hyperlink" Target="https://www.we-online.com/de?srsltid=AfmBOoq61gZ_CA56AE41aBT6s_dCWH98NNFLsv8URlrYH9DsDS603M3t" TargetMode="External"/><Relationship Id="rId19" Type="http://schemas.openxmlformats.org/officeDocument/2006/relationships/hyperlink" Target="https://www.we-online.com/components/products/datasheet/63911615521CAB.pdf" TargetMode="External"/><Relationship Id="rId4" Type="http://schemas.openxmlformats.org/officeDocument/2006/relationships/hyperlink" Target="https://www.digikey.de/de/products/detail/texas-instruments/TPS259474ARPWR/14124024?s=N4IgTCBcDaICoAUDKYCsBOALAdkwQQCUEB1AkAXQF8g" TargetMode="External"/><Relationship Id="rId9" Type="http://schemas.openxmlformats.org/officeDocument/2006/relationships/hyperlink" Target="https://www.we-online.com/de?srsltid=AfmBOoq61gZ_CA56AE41aBT6s_dCWH98NNFLsv8URlrYH9DsDS603M3t" TargetMode="External"/><Relationship Id="rId14" Type="http://schemas.openxmlformats.org/officeDocument/2006/relationships/hyperlink" Target="https://www.we-online.com/de?srsltid=AfmBOoq61gZ_CA56AE41aBT6s_dCWH98NNFLsv8URlrYH9DsDS603M3t" TargetMode="External"/><Relationship Id="rId22" Type="http://schemas.openxmlformats.org/officeDocument/2006/relationships/hyperlink" Target="https://www.we-online.com/components/products/datasheet/94505039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92E9-3623-F54C-8A29-D286A9C6899F}">
  <dimension ref="A1:U50"/>
  <sheetViews>
    <sheetView tabSelected="1" zoomScale="75" zoomScaleNormal="94" workbookViewId="0">
      <selection activeCell="C41" sqref="C41"/>
    </sheetView>
  </sheetViews>
  <sheetFormatPr baseColWidth="10" defaultColWidth="0" defaultRowHeight="16" zeroHeight="1" x14ac:dyDescent="0.2"/>
  <cols>
    <col min="1" max="1" width="12.33203125" bestFit="1" customWidth="1"/>
    <col min="2" max="2" width="20" bestFit="1" customWidth="1"/>
    <col min="3" max="3" width="48.5" bestFit="1" customWidth="1"/>
    <col min="4" max="4" width="17.33203125" bestFit="1" customWidth="1"/>
    <col min="5" max="5" width="24.1640625" bestFit="1" customWidth="1"/>
    <col min="6" max="6" width="20.5" customWidth="1"/>
    <col min="7" max="7" width="23" bestFit="1" customWidth="1"/>
    <col min="8" max="8" width="22.1640625" bestFit="1" customWidth="1"/>
    <col min="9" max="9" width="59" bestFit="1" customWidth="1"/>
    <col min="10" max="10" width="84.6640625" customWidth="1"/>
    <col min="11" max="11" width="35.5" bestFit="1" customWidth="1"/>
    <col min="12" max="12" width="17" customWidth="1"/>
    <col min="13" max="13" width="32" bestFit="1" customWidth="1"/>
    <col min="14" max="14" width="20.33203125" customWidth="1"/>
    <col min="15" max="15" width="23" bestFit="1" customWidth="1"/>
    <col min="16" max="16" width="24" customWidth="1"/>
    <col min="17" max="17" width="20.6640625" bestFit="1" customWidth="1"/>
    <col min="18" max="18" width="22.33203125" bestFit="1" customWidth="1"/>
    <col min="19" max="19" width="21.33203125" bestFit="1" customWidth="1"/>
    <col min="20" max="20" width="10.83203125" hidden="1" customWidth="1"/>
    <col min="21" max="21" width="0" hidden="1" customWidth="1"/>
    <col min="22" max="16384" width="10.83203125" hidden="1"/>
  </cols>
  <sheetData>
    <row r="1" spans="1:19" s="1" customFormat="1" ht="22" x14ac:dyDescent="0.2">
      <c r="A1" s="1" t="s">
        <v>187</v>
      </c>
      <c r="B1" s="1" t="s">
        <v>188</v>
      </c>
      <c r="C1" s="2" t="s">
        <v>0</v>
      </c>
      <c r="D1" s="1" t="s">
        <v>1</v>
      </c>
      <c r="E1" s="1" t="s">
        <v>189</v>
      </c>
      <c r="F1" s="2" t="s">
        <v>190</v>
      </c>
      <c r="G1" s="1" t="s">
        <v>4</v>
      </c>
      <c r="H1" s="3" t="s">
        <v>5</v>
      </c>
      <c r="I1" s="1" t="s">
        <v>2</v>
      </c>
      <c r="J1" s="1" t="s">
        <v>6</v>
      </c>
      <c r="K1" s="6" t="s">
        <v>191</v>
      </c>
      <c r="L1" s="1" t="s">
        <v>192</v>
      </c>
      <c r="M1" s="2" t="s">
        <v>193</v>
      </c>
      <c r="N1" s="1" t="s">
        <v>194</v>
      </c>
      <c r="O1" s="9" t="s">
        <v>195</v>
      </c>
      <c r="P1" s="10" t="s">
        <v>196</v>
      </c>
      <c r="Q1" s="1" t="s">
        <v>197</v>
      </c>
      <c r="R1" s="1" t="s">
        <v>198</v>
      </c>
      <c r="S1" s="1" t="s">
        <v>199</v>
      </c>
    </row>
    <row r="2" spans="1:19" x14ac:dyDescent="0.2">
      <c r="A2" s="4">
        <v>1</v>
      </c>
      <c r="B2" s="5" t="s">
        <v>200</v>
      </c>
      <c r="C2" t="str">
        <f>tbl_Rohdaten[[#This Row],[Reference]]</f>
        <v>BOOT1,RESET1</v>
      </c>
      <c r="D2">
        <f>tbl_Rohdaten[[#This Row],[Qty PCB]]</f>
        <v>2</v>
      </c>
      <c r="E2">
        <v>0</v>
      </c>
      <c r="F2">
        <f>(Tabelle2[[#This Row],[Qty PCB]]+Tabelle2[[#This Row],[Qty Reserve]])*$F$50</f>
        <v>6</v>
      </c>
      <c r="G2" t="str">
        <f>tbl_Rohdaten[[#This Row],[Manufacturer]]</f>
        <v>Wurth Elektronik</v>
      </c>
      <c r="H2" s="13" t="str">
        <f>tbl_Rohdaten[[#This Row],[Part Number]]</f>
        <v>430182043816</v>
      </c>
      <c r="I2" t="str">
        <f>tbl_Rohdaten[[#This Row],[Footprint]]</f>
        <v>Switch_SMD_Wurth:SW_Wurth_WS-TASV_430182043816</v>
      </c>
      <c r="J2" t="str">
        <f>tbl_Rohdaten[[#This Row],[Description]]</f>
        <v>SMT Tact Switch 6x6 mm</v>
      </c>
      <c r="K2" s="7" t="str">
        <f>IF(tbl_Rohdaten[[#This Row],[Datasheet]]="","",HYPERLINK(tbl_Rohdaten[[#This Row],[Datasheet]],"Datasheet "&amp;Tabelle2[[#This Row],[Category]]))</f>
        <v>Datasheet Switch</v>
      </c>
      <c r="L2" t="str">
        <f>tbl_Rohdaten[[#This Row],[Manufacturer]]</f>
        <v>Wurth Elektronik</v>
      </c>
      <c r="M2" s="13" t="str">
        <f>tbl_Rohdaten[[#This Row],[Part Number]]</f>
        <v>430182043816</v>
      </c>
      <c r="N2" s="21" t="s">
        <v>249</v>
      </c>
      <c r="O2" s="11">
        <v>0</v>
      </c>
      <c r="P2" s="11">
        <f>Tabelle2[[#This Row],[Unit Price]]*Tabelle2[[#This Row],[Qty Order]]</f>
        <v>0</v>
      </c>
      <c r="Q2" s="20" t="b">
        <v>0</v>
      </c>
      <c r="R2" s="20" t="b">
        <v>0</v>
      </c>
    </row>
    <row r="3" spans="1:19" x14ac:dyDescent="0.2">
      <c r="A3" s="4">
        <v>2</v>
      </c>
      <c r="B3" s="5" t="s">
        <v>201</v>
      </c>
      <c r="C3" t="str">
        <f>tbl_Rohdaten[[#This Row],[Reference]]</f>
        <v>C1,C2,C5,C9,C27,C29</v>
      </c>
      <c r="D3">
        <f>tbl_Rohdaten[[#This Row],[Qty PCB]]</f>
        <v>6</v>
      </c>
      <c r="E3">
        <v>0</v>
      </c>
      <c r="F3">
        <f>(Tabelle2[[#This Row],[Qty PCB]]+Tabelle2[[#This Row],[Qty Reserve]])*$F$50</f>
        <v>18</v>
      </c>
      <c r="G3" t="str">
        <f>tbl_Rohdaten[[#This Row],[Manufacturer]]</f>
        <v>Wurth Elektronik</v>
      </c>
      <c r="H3" s="13" t="str">
        <f>tbl_Rohdaten[[#This Row],[Part Number]]</f>
        <v>885012208093</v>
      </c>
      <c r="I3" t="str">
        <f>tbl_Rohdaten[[#This Row],[Footprint]]</f>
        <v>Capacitor_SMD_Wurth:C_Wurth_WCAP-CSGP-1206_H1.6</v>
      </c>
      <c r="J3" t="str">
        <f>tbl_Rohdaten[[#This Row],[Description]]</f>
        <v>MLCCs 50 V(DC) ED</v>
      </c>
      <c r="K3" s="7" t="str">
        <f>IF(tbl_Rohdaten[[#This Row],[Datasheet]]="","",HYPERLINK(tbl_Rohdaten[[#This Row],[Datasheet]],"Datasheet "&amp;Tabelle2[[#This Row],[Category]]))</f>
        <v>Datasheet Capacitor</v>
      </c>
      <c r="L3" t="str">
        <f>tbl_Rohdaten[[#This Row],[Manufacturer]]</f>
        <v>Wurth Elektronik</v>
      </c>
      <c r="M3" s="13" t="str">
        <f>tbl_Rohdaten[[#This Row],[Part Number]]</f>
        <v>885012208093</v>
      </c>
      <c r="N3" s="21" t="s">
        <v>249</v>
      </c>
      <c r="O3" s="11">
        <v>0</v>
      </c>
      <c r="P3" s="11">
        <f>Tabelle2[[#This Row],[Unit Price]]*Tabelle2[[#This Row],[Qty Order]]</f>
        <v>0</v>
      </c>
      <c r="Q3" s="20" t="b">
        <v>0</v>
      </c>
      <c r="R3" s="20" t="b">
        <v>0</v>
      </c>
    </row>
    <row r="4" spans="1:19" x14ac:dyDescent="0.2">
      <c r="A4" s="4">
        <v>3</v>
      </c>
      <c r="B4" s="5" t="s">
        <v>201</v>
      </c>
      <c r="C4" t="str">
        <f>tbl_Rohdaten[[#This Row],[Reference]]</f>
        <v>C3</v>
      </c>
      <c r="D4">
        <f>tbl_Rohdaten[[#This Row],[Qty PCB]]</f>
        <v>1</v>
      </c>
      <c r="E4">
        <v>0</v>
      </c>
      <c r="F4">
        <f>(Tabelle2[[#This Row],[Qty PCB]]+Tabelle2[[#This Row],[Qty Reserve]])*$F$50</f>
        <v>3</v>
      </c>
      <c r="G4" t="str">
        <f>tbl_Rohdaten[[#This Row],[Manufacturer]]</f>
        <v>Wurth Elektronik</v>
      </c>
      <c r="H4" s="13" t="str">
        <f>tbl_Rohdaten[[#This Row],[Part Number]]</f>
        <v>885012108021</v>
      </c>
      <c r="I4" t="str">
        <f>tbl_Rohdaten[[#This Row],[Footprint]]</f>
        <v>Capacitor_SMD_Wurth:C_Wurth_WCAP-CSGP-1206_H1.6</v>
      </c>
      <c r="J4" t="str">
        <f>tbl_Rohdaten[[#This Row],[Description]]</f>
        <v>MLCCs 25 V(DC)</v>
      </c>
      <c r="K4" s="7" t="str">
        <f>IF(tbl_Rohdaten[[#This Row],[Datasheet]]="","",HYPERLINK(tbl_Rohdaten[[#This Row],[Datasheet]],"Datasheet "&amp;Tabelle2[[#This Row],[Category]]))</f>
        <v>Datasheet Capacitor</v>
      </c>
      <c r="L4" t="str">
        <f>tbl_Rohdaten[[#This Row],[Manufacturer]]</f>
        <v>Wurth Elektronik</v>
      </c>
      <c r="M4" s="13" t="str">
        <f>tbl_Rohdaten[[#This Row],[Part Number]]</f>
        <v>885012108021</v>
      </c>
      <c r="N4" s="21" t="s">
        <v>249</v>
      </c>
      <c r="O4" s="11">
        <v>0</v>
      </c>
      <c r="P4" s="11">
        <v>0</v>
      </c>
      <c r="Q4" s="20" t="b">
        <v>0</v>
      </c>
      <c r="R4" s="20" t="b">
        <v>0</v>
      </c>
    </row>
    <row r="5" spans="1:19" x14ac:dyDescent="0.2">
      <c r="A5" s="4">
        <v>4</v>
      </c>
      <c r="B5" s="5" t="s">
        <v>201</v>
      </c>
      <c r="C5" t="str">
        <f>tbl_Rohdaten[[#This Row],[Reference]]</f>
        <v>C4,C7,C8,C10,C13,C14,C15,C16,C21,C22,C23,C24</v>
      </c>
      <c r="D5">
        <f>tbl_Rohdaten[[#This Row],[Qty PCB]]</f>
        <v>12</v>
      </c>
      <c r="E5">
        <v>0</v>
      </c>
      <c r="F5">
        <f>(Tabelle2[[#This Row],[Qty PCB]]+Tabelle2[[#This Row],[Qty Reserve]])*$F$50</f>
        <v>36</v>
      </c>
      <c r="G5" t="str">
        <f>tbl_Rohdaten[[#This Row],[Manufacturer]]</f>
        <v>Wurth Elektronik</v>
      </c>
      <c r="H5" s="13" t="str">
        <f>tbl_Rohdaten[[#This Row],[Part Number]]</f>
        <v>885012208118</v>
      </c>
      <c r="I5" t="str">
        <f>tbl_Rohdaten[[#This Row],[Footprint]]</f>
        <v>Capacitor_SMD_Wurth:C_Wurth_WCAP-CSGP-1206_H1.25</v>
      </c>
      <c r="J5" t="str">
        <f>tbl_Rohdaten[[#This Row],[Description]]</f>
        <v>MLCCs 100 V(DC) ED</v>
      </c>
      <c r="K5" s="7" t="str">
        <f>IF(tbl_Rohdaten[[#This Row],[Datasheet]]="","",HYPERLINK(tbl_Rohdaten[[#This Row],[Datasheet]],"Datasheet "&amp;Tabelle2[[#This Row],[Category]]))</f>
        <v>Datasheet Capacitor</v>
      </c>
      <c r="L5" t="str">
        <f>tbl_Rohdaten[[#This Row],[Manufacturer]]</f>
        <v>Wurth Elektronik</v>
      </c>
      <c r="M5" s="13" t="str">
        <f>tbl_Rohdaten[[#This Row],[Part Number]]</f>
        <v>885012208118</v>
      </c>
      <c r="N5" s="21" t="s">
        <v>249</v>
      </c>
      <c r="O5" s="11">
        <v>0</v>
      </c>
      <c r="P5" s="11">
        <v>0</v>
      </c>
      <c r="Q5" s="20" t="b">
        <v>0</v>
      </c>
      <c r="R5" s="20" t="b">
        <v>0</v>
      </c>
    </row>
    <row r="6" spans="1:19" x14ac:dyDescent="0.2">
      <c r="A6" s="4">
        <v>5</v>
      </c>
      <c r="B6" s="5" t="s">
        <v>201</v>
      </c>
      <c r="C6" t="str">
        <f>tbl_Rohdaten[[#This Row],[Reference]]</f>
        <v>C6</v>
      </c>
      <c r="D6">
        <f>tbl_Rohdaten[[#This Row],[Qty PCB]]</f>
        <v>1</v>
      </c>
      <c r="E6">
        <v>0</v>
      </c>
      <c r="F6">
        <f>(Tabelle2[[#This Row],[Qty PCB]]+Tabelle2[[#This Row],[Qty Reserve]])*$F$50</f>
        <v>3</v>
      </c>
      <c r="G6" t="str">
        <f>tbl_Rohdaten[[#This Row],[Manufacturer]]</f>
        <v>Wurth Elektronik</v>
      </c>
      <c r="H6" s="13" t="str">
        <f>tbl_Rohdaten[[#This Row],[Part Number]]</f>
        <v>885012008055</v>
      </c>
      <c r="I6" t="str">
        <f>tbl_Rohdaten[[#This Row],[Footprint]]</f>
        <v>Capacitor_SMD_Wurth:C_Wurth_WCAP-CSGP-1206_H1.25</v>
      </c>
      <c r="J6" t="str">
        <f>tbl_Rohdaten[[#This Row],[Description]]</f>
        <v>MLCCs 50 V(DC) ED</v>
      </c>
      <c r="K6" s="7" t="str">
        <f>IF(tbl_Rohdaten[[#This Row],[Datasheet]]="","",HYPERLINK(tbl_Rohdaten[[#This Row],[Datasheet]],"Datasheet "&amp;Tabelle2[[#This Row],[Category]]))</f>
        <v>Datasheet Capacitor</v>
      </c>
      <c r="L6" t="str">
        <f>tbl_Rohdaten[[#This Row],[Manufacturer]]</f>
        <v>Wurth Elektronik</v>
      </c>
      <c r="M6" s="13" t="str">
        <f>tbl_Rohdaten[[#This Row],[Part Number]]</f>
        <v>885012008055</v>
      </c>
      <c r="N6" s="21" t="s">
        <v>249</v>
      </c>
      <c r="O6" s="11">
        <v>0</v>
      </c>
      <c r="P6" s="11">
        <f>Tabelle2[[#This Row],[Unit Price]]*Tabelle2[[#This Row],[Qty Order]]</f>
        <v>0</v>
      </c>
      <c r="Q6" s="20" t="b">
        <v>0</v>
      </c>
      <c r="R6" s="20" t="b">
        <v>0</v>
      </c>
    </row>
    <row r="7" spans="1:19" x14ac:dyDescent="0.2">
      <c r="A7" s="4">
        <v>6</v>
      </c>
      <c r="B7" s="5" t="s">
        <v>201</v>
      </c>
      <c r="C7" t="str">
        <f>tbl_Rohdaten[[#This Row],[Reference]]</f>
        <v>C11,C12,C19,C20</v>
      </c>
      <c r="D7">
        <f>tbl_Rohdaten[[#This Row],[Qty PCB]]</f>
        <v>4</v>
      </c>
      <c r="E7">
        <v>0</v>
      </c>
      <c r="F7">
        <f>(Tabelle2[[#This Row],[Qty PCB]]+Tabelle2[[#This Row],[Qty Reserve]])*$F$50</f>
        <v>12</v>
      </c>
      <c r="G7" t="str">
        <f>tbl_Rohdaten[[#This Row],[Manufacturer]]</f>
        <v>Wurth Elektronik</v>
      </c>
      <c r="H7" s="13" t="str">
        <f>tbl_Rohdaten[[#This Row],[Part Number]]</f>
        <v>885012208083</v>
      </c>
      <c r="I7" t="str">
        <f>tbl_Rohdaten[[#This Row],[Footprint]]</f>
        <v>Capacitor_SMD_Wurth:C_Wurth_WCAP-CSGP-1206_H0.8</v>
      </c>
      <c r="J7" t="str">
        <f>tbl_Rohdaten[[#This Row],[Description]]</f>
        <v>MLCCs 50 V(DC) ED</v>
      </c>
      <c r="K7" s="7" t="str">
        <f>IF(tbl_Rohdaten[[#This Row],[Datasheet]]="","",HYPERLINK(tbl_Rohdaten[[#This Row],[Datasheet]],"Datasheet "&amp;Tabelle2[[#This Row],[Category]]))</f>
        <v>Datasheet Capacitor</v>
      </c>
      <c r="L7" t="str">
        <f>tbl_Rohdaten[[#This Row],[Manufacturer]]</f>
        <v>Wurth Elektronik</v>
      </c>
      <c r="M7" s="13" t="str">
        <f>tbl_Rohdaten[[#This Row],[Part Number]]</f>
        <v>885012208083</v>
      </c>
      <c r="N7" s="21" t="s">
        <v>249</v>
      </c>
      <c r="O7" s="11">
        <v>0</v>
      </c>
      <c r="P7" s="11">
        <f>Tabelle2[[#This Row],[Unit Price]]*Tabelle2[[#This Row],[Qty Order]]</f>
        <v>0</v>
      </c>
      <c r="Q7" s="20" t="b">
        <v>0</v>
      </c>
      <c r="R7" s="20" t="b">
        <v>0</v>
      </c>
    </row>
    <row r="8" spans="1:19" x14ac:dyDescent="0.2">
      <c r="A8" s="4">
        <v>7</v>
      </c>
      <c r="B8" s="5" t="s">
        <v>201</v>
      </c>
      <c r="C8" t="str">
        <f>tbl_Rohdaten[[#This Row],[Reference]]</f>
        <v>C17,C18,C25,C26</v>
      </c>
      <c r="D8">
        <f>tbl_Rohdaten[[#This Row],[Qty PCB]]</f>
        <v>4</v>
      </c>
      <c r="E8">
        <v>0</v>
      </c>
      <c r="F8">
        <f>(Tabelle2[[#This Row],[Qty PCB]]+Tabelle2[[#This Row],[Qty Reserve]])*$F$50</f>
        <v>12</v>
      </c>
      <c r="G8" t="str">
        <f>tbl_Rohdaten[[#This Row],[Manufacturer]]</f>
        <v>Wurth Elektronik</v>
      </c>
      <c r="H8" s="13" t="str">
        <f>tbl_Rohdaten[[#This Row],[Part Number]]</f>
        <v>885012109011</v>
      </c>
      <c r="I8" t="str">
        <f>tbl_Rohdaten[[#This Row],[Footprint]]</f>
        <v>Capacitor_SMD_Wurth:C_Wurth_WCAP-CSGP-1210_H2.5</v>
      </c>
      <c r="J8" t="str">
        <f>tbl_Rohdaten[[#This Row],[Description]]</f>
        <v>MLCCs 16 V(DC) ED</v>
      </c>
      <c r="K8" s="7" t="str">
        <f>IF(tbl_Rohdaten[[#This Row],[Datasheet]]="","",HYPERLINK(tbl_Rohdaten[[#This Row],[Datasheet]],"Datasheet "&amp;Tabelle2[[#This Row],[Category]]))</f>
        <v>Datasheet Capacitor</v>
      </c>
      <c r="L8" t="str">
        <f>tbl_Rohdaten[[#This Row],[Manufacturer]]</f>
        <v>Wurth Elektronik</v>
      </c>
      <c r="M8" s="13" t="str">
        <f>tbl_Rohdaten[[#This Row],[Part Number]]</f>
        <v>885012109011</v>
      </c>
      <c r="N8" s="21" t="s">
        <v>249</v>
      </c>
      <c r="O8" s="11">
        <v>0</v>
      </c>
      <c r="P8" s="11">
        <f>Tabelle2[[#This Row],[Unit Price]]*Tabelle2[[#This Row],[Qty Order]]</f>
        <v>0</v>
      </c>
      <c r="Q8" s="20" t="b">
        <v>0</v>
      </c>
      <c r="R8" s="20" t="b">
        <v>0</v>
      </c>
    </row>
    <row r="9" spans="1:19" x14ac:dyDescent="0.2">
      <c r="A9" s="4">
        <v>8</v>
      </c>
      <c r="B9" s="5" t="s">
        <v>201</v>
      </c>
      <c r="C9" t="str">
        <f>tbl_Rohdaten[[#This Row],[Reference]]</f>
        <v>C28</v>
      </c>
      <c r="D9">
        <f>tbl_Rohdaten[[#This Row],[Qty PCB]]</f>
        <v>1</v>
      </c>
      <c r="E9">
        <v>0</v>
      </c>
      <c r="F9">
        <f>(Tabelle2[[#This Row],[Qty PCB]]+Tabelle2[[#This Row],[Qty Reserve]])*$F$50</f>
        <v>3</v>
      </c>
      <c r="G9" t="str">
        <f>tbl_Rohdaten[[#This Row],[Manufacturer]]</f>
        <v>Wurth Elektronik</v>
      </c>
      <c r="H9" s="13" t="str">
        <f>tbl_Rohdaten[[#This Row],[Part Number]]</f>
        <v>885012008001</v>
      </c>
      <c r="I9" t="str">
        <f>tbl_Rohdaten[[#This Row],[Footprint]]</f>
        <v>Capacitor_SMD_Wurth:C_Wurth_WCAP-CSGP-1206_H0.8</v>
      </c>
      <c r="J9" t="str">
        <f>tbl_Rohdaten[[#This Row],[Description]]</f>
        <v>MLCCs 10 V(DC) ED</v>
      </c>
      <c r="K9" s="7" t="str">
        <f>IF(tbl_Rohdaten[[#This Row],[Datasheet]]="","",HYPERLINK(tbl_Rohdaten[[#This Row],[Datasheet]],"Datasheet "&amp;Tabelle2[[#This Row],[Category]]))</f>
        <v>Datasheet Capacitor</v>
      </c>
      <c r="L9" t="str">
        <f>tbl_Rohdaten[[#This Row],[Manufacturer]]</f>
        <v>Wurth Elektronik</v>
      </c>
      <c r="M9" s="13" t="str">
        <f>tbl_Rohdaten[[#This Row],[Part Number]]</f>
        <v>885012008001</v>
      </c>
      <c r="N9" s="21" t="s">
        <v>249</v>
      </c>
      <c r="O9" s="11">
        <v>0</v>
      </c>
      <c r="P9" s="11">
        <f>Tabelle2[[#This Row],[Unit Price]]*Tabelle2[[#This Row],[Qty Order]]</f>
        <v>0</v>
      </c>
      <c r="Q9" s="20" t="b">
        <v>0</v>
      </c>
      <c r="R9" s="20" t="b">
        <v>0</v>
      </c>
    </row>
    <row r="10" spans="1:19" x14ac:dyDescent="0.2">
      <c r="A10" s="4">
        <v>9</v>
      </c>
      <c r="B10" s="5" t="s">
        <v>201</v>
      </c>
      <c r="C10" t="str">
        <f>tbl_Rohdaten[[#This Row],[Reference]]</f>
        <v>C30</v>
      </c>
      <c r="D10">
        <f>tbl_Rohdaten[[#This Row],[Qty PCB]]</f>
        <v>1</v>
      </c>
      <c r="E10">
        <v>0</v>
      </c>
      <c r="F10">
        <f>(Tabelle2[[#This Row],[Qty PCB]]+Tabelle2[[#This Row],[Qty Reserve]])*$F$50</f>
        <v>3</v>
      </c>
      <c r="G10" t="str">
        <f>tbl_Rohdaten[[#This Row],[Manufacturer]]</f>
        <v>Wurth Elektronik</v>
      </c>
      <c r="H10" s="13" t="str">
        <f>tbl_Rohdaten[[#This Row],[Part Number]]</f>
        <v>885342008003</v>
      </c>
      <c r="I10" t="str">
        <f>tbl_Rohdaten[[#This Row],[Footprint]]</f>
        <v>Capacitor_SMD_Wurth:C_Wurth_WCAP-CSMH-1206_H1.6</v>
      </c>
      <c r="J10" t="str">
        <f>tbl_Rohdaten[[#This Row],[Description]]</f>
        <v>MLCCS Mid and High Voltage</v>
      </c>
      <c r="K10" s="7" t="str">
        <f>IF(tbl_Rohdaten[[#This Row],[Datasheet]]="","",HYPERLINK(tbl_Rohdaten[[#This Row],[Datasheet]],"Datasheet "&amp;Tabelle2[[#This Row],[Category]]))</f>
        <v>Datasheet Capacitor</v>
      </c>
      <c r="L10" t="str">
        <f>tbl_Rohdaten[[#This Row],[Manufacturer]]</f>
        <v>Wurth Elektronik</v>
      </c>
      <c r="M10" s="13" t="str">
        <f>tbl_Rohdaten[[#This Row],[Part Number]]</f>
        <v>885342008003</v>
      </c>
      <c r="N10" s="21" t="s">
        <v>249</v>
      </c>
      <c r="O10" s="11">
        <v>0</v>
      </c>
      <c r="P10" s="11">
        <f>Tabelle2[[#This Row],[Unit Price]]*Tabelle2[[#This Row],[Qty Order]]</f>
        <v>0</v>
      </c>
      <c r="Q10" s="20" t="b">
        <v>0</v>
      </c>
      <c r="R10" s="20" t="b">
        <v>0</v>
      </c>
    </row>
    <row r="11" spans="1:19" x14ac:dyDescent="0.2">
      <c r="A11" s="4">
        <v>10</v>
      </c>
      <c r="B11" s="5" t="s">
        <v>201</v>
      </c>
      <c r="C11" t="str">
        <f>tbl_Rohdaten[[#This Row],[Reference]]</f>
        <v>C31</v>
      </c>
      <c r="D11">
        <f>tbl_Rohdaten[[#This Row],[Qty PCB]]</f>
        <v>1</v>
      </c>
      <c r="E11">
        <v>0</v>
      </c>
      <c r="F11">
        <f>(Tabelle2[[#This Row],[Qty PCB]]+Tabelle2[[#This Row],[Qty Reserve]])*$F$50</f>
        <v>3</v>
      </c>
      <c r="G11" t="str">
        <f>tbl_Rohdaten[[#This Row],[Manufacturer]]</f>
        <v>Wurth Elektronik</v>
      </c>
      <c r="H11" s="13" t="str">
        <f>tbl_Rohdaten[[#This Row],[Part Number]]</f>
        <v>885012108003</v>
      </c>
      <c r="I11" t="str">
        <f>tbl_Rohdaten[[#This Row],[Footprint]]</f>
        <v>Capacitor_SMD_Wurth:C_Wurth_WCAP-CSGP-1206_H1.6</v>
      </c>
      <c r="J11" t="str">
        <f>tbl_Rohdaten[[#This Row],[Description]]</f>
        <v>MLCCs 6.3 V(DC) ED</v>
      </c>
      <c r="K11" s="7" t="str">
        <f>IF(tbl_Rohdaten[[#This Row],[Datasheet]]="","",HYPERLINK(tbl_Rohdaten[[#This Row],[Datasheet]],"Datasheet "&amp;Tabelle2[[#This Row],[Category]]))</f>
        <v>Datasheet Capacitor</v>
      </c>
      <c r="L11" t="str">
        <f>tbl_Rohdaten[[#This Row],[Manufacturer]]</f>
        <v>Wurth Elektronik</v>
      </c>
      <c r="M11" s="13" t="str">
        <f>tbl_Rohdaten[[#This Row],[Part Number]]</f>
        <v>885012108003</v>
      </c>
      <c r="N11" s="21" t="s">
        <v>249</v>
      </c>
      <c r="O11" s="11">
        <v>0</v>
      </c>
      <c r="P11" s="11">
        <f>Tabelle2[[#This Row],[Unit Price]]*Tabelle2[[#This Row],[Qty Order]]</f>
        <v>0</v>
      </c>
      <c r="Q11" s="20" t="b">
        <v>0</v>
      </c>
      <c r="R11" s="20" t="b">
        <v>0</v>
      </c>
    </row>
    <row r="12" spans="1:19" x14ac:dyDescent="0.2">
      <c r="A12" s="4">
        <v>11</v>
      </c>
      <c r="B12" s="5" t="s">
        <v>201</v>
      </c>
      <c r="C12" t="str">
        <f>tbl_Rohdaten[[#This Row],[Reference]]</f>
        <v>C32,C33</v>
      </c>
      <c r="D12">
        <f>tbl_Rohdaten[[#This Row],[Qty PCB]]</f>
        <v>2</v>
      </c>
      <c r="E12">
        <v>0</v>
      </c>
      <c r="F12">
        <f>(Tabelle2[[#This Row],[Qty PCB]]+Tabelle2[[#This Row],[Qty Reserve]])*$F$50</f>
        <v>6</v>
      </c>
      <c r="G12" t="str">
        <f>tbl_Rohdaten[[#This Row],[Manufacturer]]</f>
        <v>Wurth Elektronik</v>
      </c>
      <c r="H12" s="13" t="str">
        <f>tbl_Rohdaten[[#This Row],[Part Number]]</f>
        <v>885012006002</v>
      </c>
      <c r="I12" t="str">
        <f>tbl_Rohdaten[[#This Row],[Footprint]]</f>
        <v>Capacitor_SMD_Wurth:C_Wurth_WCAP-CSGP-0603_R</v>
      </c>
      <c r="J12" t="str">
        <f>tbl_Rohdaten[[#This Row],[Description]]</f>
        <v>MLCCs 10 V(DC) ED</v>
      </c>
      <c r="K12" s="7" t="str">
        <f>IF(tbl_Rohdaten[[#This Row],[Datasheet]]="","",HYPERLINK(tbl_Rohdaten[[#This Row],[Datasheet]],"Datasheet "&amp;Tabelle2[[#This Row],[Category]]))</f>
        <v>Datasheet Capacitor</v>
      </c>
      <c r="L12" t="str">
        <f>tbl_Rohdaten[[#This Row],[Manufacturer]]</f>
        <v>Wurth Elektronik</v>
      </c>
      <c r="M12" s="13" t="str">
        <f>tbl_Rohdaten[[#This Row],[Part Number]]</f>
        <v>885012006002</v>
      </c>
      <c r="N12" s="21" t="s">
        <v>249</v>
      </c>
      <c r="O12" s="11">
        <v>0</v>
      </c>
      <c r="P12" s="8">
        <f>Tabelle2[[#This Row],[Unit Price]]*Tabelle2[[#This Row],[Qty Order]]</f>
        <v>0</v>
      </c>
      <c r="Q12" s="20" t="b">
        <v>0</v>
      </c>
      <c r="R12" s="20" t="b">
        <v>0</v>
      </c>
    </row>
    <row r="13" spans="1:19" x14ac:dyDescent="0.2">
      <c r="A13" s="4">
        <v>12</v>
      </c>
      <c r="B13" s="5" t="s">
        <v>202</v>
      </c>
      <c r="C13" t="str">
        <f>tbl_Rohdaten[[#This Row],[Reference]]</f>
        <v>EMA1,EMB1,EMC1,EMD1</v>
      </c>
      <c r="D13">
        <f>tbl_Rohdaten[[#This Row],[Qty PCB]]</f>
        <v>4</v>
      </c>
      <c r="E13">
        <v>0</v>
      </c>
      <c r="F13">
        <f>(Tabelle2[[#This Row],[Qty PCB]]+Tabelle2[[#This Row],[Qty Reserve]])*$F$50</f>
        <v>12</v>
      </c>
      <c r="G13" t="str">
        <f>tbl_Rohdaten[[#This Row],[Manufacturer]]</f>
        <v>Texas Instruments</v>
      </c>
      <c r="H13" s="13" t="str">
        <f>tbl_Rohdaten[[#This Row],[Part Number]]</f>
        <v>DRV8874PWPR</v>
      </c>
      <c r="I13" t="str">
        <f>tbl_Rohdaten[[#This Row],[Footprint]]</f>
        <v>DRV8874PWPR:SOP65P640X120-17N</v>
      </c>
      <c r="J13" t="str">
        <f>tbl_Rohdaten[[#This Row],[Description]]</f>
        <v>40-V, 6-A H-bridge motor driver with integrated current sensing feedback</v>
      </c>
      <c r="K13" s="7" t="str">
        <f>IF(tbl_Rohdaten[[#This Row],[Datasheet]]="","",HYPERLINK(tbl_Rohdaten[[#This Row],[Datasheet]],"Datasheet "&amp;Tabelle2[[#This Row],[Category]]))</f>
        <v>Datasheet H-Bridge</v>
      </c>
      <c r="L13" t="s">
        <v>241</v>
      </c>
      <c r="M13" t="s">
        <v>242</v>
      </c>
      <c r="N13" s="21" t="s">
        <v>240</v>
      </c>
      <c r="O13" s="11">
        <v>2.1850000000000001</v>
      </c>
      <c r="P13" s="11">
        <f>Tabelle2[[#This Row],[Unit Price]]*Tabelle2[[#This Row],[Qty Order]]</f>
        <v>26.22</v>
      </c>
      <c r="Q13" s="20" t="b">
        <v>0</v>
      </c>
      <c r="R13" s="20" t="b">
        <v>0</v>
      </c>
    </row>
    <row r="14" spans="1:19" x14ac:dyDescent="0.2">
      <c r="A14" s="4">
        <v>13</v>
      </c>
      <c r="B14" s="5" t="s">
        <v>203</v>
      </c>
      <c r="C14" t="str">
        <f>tbl_Rohdaten[[#This Row],[Reference]]</f>
        <v>FB1</v>
      </c>
      <c r="D14">
        <f>tbl_Rohdaten[[#This Row],[Qty PCB]]</f>
        <v>1</v>
      </c>
      <c r="E14">
        <v>0</v>
      </c>
      <c r="F14">
        <f>(Tabelle2[[#This Row],[Qty PCB]]+Tabelle2[[#This Row],[Qty Reserve]])*$F$50</f>
        <v>3</v>
      </c>
      <c r="G14" t="str">
        <f>tbl_Rohdaten[[#This Row],[Manufacturer]]</f>
        <v>Wurth Elektronik</v>
      </c>
      <c r="H14" s="13" t="str">
        <f>tbl_Rohdaten[[#This Row],[Part Number]]</f>
        <v>742792641</v>
      </c>
      <c r="I14" t="str">
        <f>tbl_Rohdaten[[#This Row],[Footprint]]</f>
        <v>Ferrite_SMD_Wurth:FB_Wurth_WE-CBF-0603_W2.6</v>
      </c>
      <c r="J14" t="str">
        <f>tbl_Rohdaten[[#This Row],[Description]]</f>
        <v>EMI Suppression Ferrite Bead, Multi-purpose Ferrite</v>
      </c>
      <c r="K14" s="7" t="str">
        <f>IF(tbl_Rohdaten[[#This Row],[Datasheet]]="","",HYPERLINK(tbl_Rohdaten[[#This Row],[Datasheet]],"Datasheet "&amp;Tabelle2[[#This Row],[Category]]))</f>
        <v>Datasheet Ferrite Bead</v>
      </c>
      <c r="L14" t="str">
        <f>tbl_Rohdaten[[#This Row],[Manufacturer]]</f>
        <v>Wurth Elektronik</v>
      </c>
      <c r="M14" t="str">
        <f>tbl_Rohdaten[[#This Row],[Part Number]]</f>
        <v>742792641</v>
      </c>
      <c r="N14" s="21" t="s">
        <v>249</v>
      </c>
      <c r="O14" s="11">
        <v>0</v>
      </c>
      <c r="P14" s="11"/>
      <c r="Q14" s="20" t="b">
        <v>0</v>
      </c>
      <c r="R14" s="20" t="b">
        <v>0</v>
      </c>
    </row>
    <row r="15" spans="1:19" x14ac:dyDescent="0.2">
      <c r="A15" s="4">
        <v>14</v>
      </c>
      <c r="B15" s="5" t="s">
        <v>204</v>
      </c>
      <c r="C15" t="str">
        <f>tbl_Rohdaten[[#This Row],[Reference]]</f>
        <v>I2C1</v>
      </c>
      <c r="D15">
        <f>tbl_Rohdaten[[#This Row],[Qty PCB]]</f>
        <v>1</v>
      </c>
      <c r="E15">
        <v>0</v>
      </c>
      <c r="F15">
        <f>(Tabelle2[[#This Row],[Qty PCB]]+Tabelle2[[#This Row],[Qty Reserve]])*$F$50</f>
        <v>3</v>
      </c>
      <c r="G15" t="str">
        <f>tbl_Rohdaten[[#This Row],[Manufacturer]]</f>
        <v>Wurth Elektronik</v>
      </c>
      <c r="H15" s="13" t="str">
        <f>tbl_Rohdaten[[#This Row],[Part Number]]</f>
        <v>61300311121</v>
      </c>
      <c r="I15" t="str">
        <f>tbl_Rohdaten[[#This Row],[Footprint]]</f>
        <v>Connector_THT_Wurth:J_Wurth_WR-PHD_61300311121</v>
      </c>
      <c r="J15" t="str">
        <f>tbl_Rohdaten[[#This Row],[Description]]</f>
        <v>2.54 mm THT Pin Header</v>
      </c>
      <c r="K15" s="7" t="str">
        <f>IF(tbl_Rohdaten[[#This Row],[Datasheet]]="","",HYPERLINK(tbl_Rohdaten[[#This Row],[Datasheet]],"Datasheet "&amp;Tabelle2[[#This Row],[Category]]))</f>
        <v>Datasheet Connector</v>
      </c>
      <c r="L15" t="str">
        <f>tbl_Rohdaten[[#This Row],[Manufacturer]]</f>
        <v>Wurth Elektronik</v>
      </c>
      <c r="M15" t="str">
        <f>tbl_Rohdaten[[#This Row],[Part Number]]</f>
        <v>61300311121</v>
      </c>
      <c r="N15" s="21" t="s">
        <v>249</v>
      </c>
      <c r="O15" s="11">
        <v>0</v>
      </c>
      <c r="P15" s="11">
        <f>Tabelle2[[#This Row],[Unit Price]]*Tabelle2[[#This Row],[Qty Order]]</f>
        <v>0</v>
      </c>
      <c r="Q15" s="20" t="b">
        <v>0</v>
      </c>
      <c r="R15" s="20" t="b">
        <v>0</v>
      </c>
    </row>
    <row r="16" spans="1:19" x14ac:dyDescent="0.2">
      <c r="A16" s="4">
        <v>15</v>
      </c>
      <c r="B16" s="5" t="s">
        <v>205</v>
      </c>
      <c r="C16" t="str">
        <f>tbl_Rohdaten[[#This Row],[Reference]]</f>
        <v>IC1</v>
      </c>
      <c r="D16">
        <f>tbl_Rohdaten[[#This Row],[Qty PCB]]</f>
        <v>1</v>
      </c>
      <c r="E16">
        <v>0</v>
      </c>
      <c r="F16">
        <f>(Tabelle2[[#This Row],[Qty PCB]]+Tabelle2[[#This Row],[Qty Reserve]])*$F$50</f>
        <v>3</v>
      </c>
      <c r="G16" t="str">
        <f>tbl_Rohdaten[[#This Row],[Manufacturer]]</f>
        <v>Texas Instruments</v>
      </c>
      <c r="H16" s="13" t="str">
        <f>tbl_Rohdaten[[#This Row],[Part Number]]</f>
        <v>TLV1117LV33DCYR</v>
      </c>
      <c r="I16" t="str">
        <f>tbl_Rohdaten[[#This Row],[Footprint]]</f>
        <v>SOT230P700X180-4N</v>
      </c>
      <c r="J16" t="str">
        <f>tbl_Rohdaten[[#This Row],[Description]]</f>
        <v>1-A, Positive Fixed Voltage, Low-Dropout Regulator</v>
      </c>
      <c r="K16" s="7" t="str">
        <f>IF(tbl_Rohdaten[[#This Row],[Datasheet]]="","",HYPERLINK(tbl_Rohdaten[[#This Row],[Datasheet]],"Datasheet "&amp;Tabelle2[[#This Row],[Category]]))</f>
        <v>Datasheet LDO Voltage Regulator</v>
      </c>
      <c r="L16" t="s">
        <v>241</v>
      </c>
      <c r="M16" t="s">
        <v>244</v>
      </c>
      <c r="N16" s="21" t="s">
        <v>243</v>
      </c>
      <c r="O16" s="11">
        <v>0.22</v>
      </c>
      <c r="P16" s="11">
        <f>Tabelle2[[#This Row],[Unit Price]]*Tabelle2[[#This Row],[Qty Order]]</f>
        <v>0.66</v>
      </c>
      <c r="Q16" s="20" t="b">
        <v>0</v>
      </c>
      <c r="R16" s="20" t="b">
        <v>0</v>
      </c>
    </row>
    <row r="17" spans="1:18" x14ac:dyDescent="0.2">
      <c r="A17" s="4">
        <v>16</v>
      </c>
      <c r="B17" s="5" t="s">
        <v>206</v>
      </c>
      <c r="C17" t="str">
        <f>tbl_Rohdaten[[#This Row],[Reference]]</f>
        <v>J1</v>
      </c>
      <c r="D17">
        <f>tbl_Rohdaten[[#This Row],[Qty PCB]]</f>
        <v>1</v>
      </c>
      <c r="E17">
        <v>0</v>
      </c>
      <c r="F17">
        <f>(Tabelle2[[#This Row],[Qty PCB]]+Tabelle2[[#This Row],[Qty Reserve]])*$F$50</f>
        <v>3</v>
      </c>
      <c r="G17" t="str">
        <f>tbl_Rohdaten[[#This Row],[Manufacturer]]</f>
        <v>Würth Elektronik</v>
      </c>
      <c r="H17" s="13" t="str">
        <f>tbl_Rohdaten[[#This Row],[Part Number]]</f>
        <v>629722000214</v>
      </c>
      <c r="I17" t="str">
        <f>tbl_Rohdaten[[#This Row],[Footprint]]</f>
        <v>WURTH_USB:629722000214_CUSTOM</v>
      </c>
      <c r="J17" t="str">
        <f>tbl_Rohdaten[[#This Row],[Description]]</f>
        <v>USB CONN, 2.0 TYPE C, R/A RCPT, 16P, SMT;</v>
      </c>
      <c r="K17" s="7" t="str">
        <f>IF(tbl_Rohdaten[[#This Row],[Datasheet]]="","",HYPERLINK(tbl_Rohdaten[[#This Row],[Datasheet]],"Datasheet "&amp;Tabelle2[[#This Row],[Category]]))</f>
        <v>Datasheet USB-C Connector</v>
      </c>
      <c r="L17" t="str">
        <f>tbl_Rohdaten[[#This Row],[Manufacturer]]</f>
        <v>Würth Elektronik</v>
      </c>
      <c r="M17" t="str">
        <f>tbl_Rohdaten[[#This Row],[Part Number]]</f>
        <v>629722000214</v>
      </c>
      <c r="N17" s="21" t="s">
        <v>249</v>
      </c>
      <c r="O17" s="11">
        <v>0</v>
      </c>
      <c r="P17" s="11">
        <f>Tabelle2[[#This Row],[Unit Price]]*Tabelle2[[#This Row],[Qty Order]]</f>
        <v>0</v>
      </c>
      <c r="Q17" s="20" t="b">
        <v>0</v>
      </c>
      <c r="R17" s="20" t="b">
        <v>0</v>
      </c>
    </row>
    <row r="18" spans="1:18" x14ac:dyDescent="0.2">
      <c r="A18" s="4">
        <v>17</v>
      </c>
      <c r="B18" s="5" t="s">
        <v>207</v>
      </c>
      <c r="C18" t="str">
        <f>tbl_Rohdaten[[#This Row],[Reference]]</f>
        <v>J2</v>
      </c>
      <c r="D18">
        <f>tbl_Rohdaten[[#This Row],[Qty PCB]]</f>
        <v>1</v>
      </c>
      <c r="E18">
        <v>0</v>
      </c>
      <c r="F18">
        <f>(Tabelle2[[#This Row],[Qty PCB]]+Tabelle2[[#This Row],[Qty Reserve]])*$F$50</f>
        <v>3</v>
      </c>
      <c r="G18" t="str">
        <f>tbl_Rohdaten[[#This Row],[Manufacturer]]</f>
        <v>Wurth Electronics</v>
      </c>
      <c r="H18" s="13" t="str">
        <f>tbl_Rohdaten[[#This Row],[Part Number]]</f>
        <v>691103110002</v>
      </c>
      <c r="I18" t="str">
        <f>tbl_Rohdaten[[#This Row],[Footprint]]</f>
        <v>691103110002:691103110002</v>
      </c>
      <c r="J18" t="str">
        <f>tbl_Rohdaten[[#This Row],[Description]]</f>
        <v>Serie 1031 - 3,50mm pitch - Modular THT - Blue - Horizontal cable entry Wire Protector 8.4mm height - 02p</v>
      </c>
      <c r="K18" s="7" t="str">
        <f>IF(tbl_Rohdaten[[#This Row],[Datasheet]]="","",HYPERLINK(tbl_Rohdaten[[#This Row],[Datasheet]],"Datasheet "&amp;Tabelle2[[#This Row],[Category]]))</f>
        <v>Datasheet Terminal Block</v>
      </c>
      <c r="L18" t="str">
        <f>tbl_Rohdaten[[#This Row],[Manufacturer]]</f>
        <v>Wurth Electronics</v>
      </c>
      <c r="M18" t="str">
        <f>tbl_Rohdaten[[#This Row],[Part Number]]</f>
        <v>691103110002</v>
      </c>
      <c r="N18" s="21" t="s">
        <v>249</v>
      </c>
      <c r="O18" s="11">
        <v>0</v>
      </c>
      <c r="P18" s="11">
        <f>Tabelle2[[#This Row],[Unit Price]]*Tabelle2[[#This Row],[Qty Order]]</f>
        <v>0</v>
      </c>
      <c r="Q18" s="20" t="b">
        <v>0</v>
      </c>
      <c r="R18" s="20" t="b">
        <v>0</v>
      </c>
    </row>
    <row r="19" spans="1:18" x14ac:dyDescent="0.2">
      <c r="A19" s="4">
        <v>18</v>
      </c>
      <c r="B19" s="5" t="s">
        <v>204</v>
      </c>
      <c r="C19" t="str">
        <f>tbl_Rohdaten[[#This Row],[Reference]]</f>
        <v>J3,J6</v>
      </c>
      <c r="D19">
        <f>tbl_Rohdaten[[#This Row],[Qty PCB]]</f>
        <v>2</v>
      </c>
      <c r="E19">
        <v>0</v>
      </c>
      <c r="F19">
        <f>(Tabelle2[[#This Row],[Qty PCB]]+Tabelle2[[#This Row],[Qty Reserve]])*$F$50</f>
        <v>6</v>
      </c>
      <c r="G19" t="str">
        <f>tbl_Rohdaten[[#This Row],[Manufacturer]]</f>
        <v>Wurth Elektronik</v>
      </c>
      <c r="H19" s="13" t="str">
        <f>tbl_Rohdaten[[#This Row],[Part Number]]</f>
        <v>61300621121</v>
      </c>
      <c r="I19" t="str">
        <f>tbl_Rohdaten[[#This Row],[Footprint]]</f>
        <v>Connector_THT_Wurth:J_Wurth_WR-PHD_61300621121</v>
      </c>
      <c r="J19" t="str">
        <f>tbl_Rohdaten[[#This Row],[Description]]</f>
        <v>2.54 mm THT Dual Pin Header</v>
      </c>
      <c r="K19" s="7" t="str">
        <f>IF(tbl_Rohdaten[[#This Row],[Datasheet]]="","",HYPERLINK(tbl_Rohdaten[[#This Row],[Datasheet]],"Datasheet "&amp;Tabelle2[[#This Row],[Category]]))</f>
        <v>Datasheet Connector</v>
      </c>
      <c r="L19" t="str">
        <f>tbl_Rohdaten[[#This Row],[Manufacturer]]</f>
        <v>Wurth Elektronik</v>
      </c>
      <c r="M19" t="str">
        <f>tbl_Rohdaten[[#This Row],[Part Number]]</f>
        <v>61300621121</v>
      </c>
      <c r="N19" s="21" t="s">
        <v>249</v>
      </c>
      <c r="O19" s="11">
        <v>0</v>
      </c>
      <c r="P19" s="11">
        <f>Tabelle2[[#This Row],[Unit Price]]*Tabelle2[[#This Row],[Qty Order]]</f>
        <v>0</v>
      </c>
      <c r="Q19" s="20" t="b">
        <v>0</v>
      </c>
      <c r="R19" s="20" t="b">
        <v>0</v>
      </c>
    </row>
    <row r="20" spans="1:18" x14ac:dyDescent="0.2">
      <c r="A20" s="4">
        <v>19</v>
      </c>
      <c r="B20" s="5" t="s">
        <v>204</v>
      </c>
      <c r="C20" t="str">
        <f>tbl_Rohdaten[[#This Row],[Reference]]</f>
        <v>J4</v>
      </c>
      <c r="D20">
        <f>tbl_Rohdaten[[#This Row],[Qty PCB]]</f>
        <v>1</v>
      </c>
      <c r="E20">
        <v>0</v>
      </c>
      <c r="F20">
        <f>(Tabelle2[[#This Row],[Qty PCB]]+Tabelle2[[#This Row],[Qty Reserve]])*$F$50</f>
        <v>3</v>
      </c>
      <c r="G20" t="str">
        <f>tbl_Rohdaten[[#This Row],[Manufacturer]]</f>
        <v>Wurth Elektronik</v>
      </c>
      <c r="H20" s="13" t="str">
        <f>tbl_Rohdaten[[#This Row],[Part Number]]</f>
        <v>61300821121</v>
      </c>
      <c r="I20" t="str">
        <f>tbl_Rohdaten[[#This Row],[Footprint]]</f>
        <v>Connector_THT_Wurth:J_Wurth_WR-PHD_61300821121</v>
      </c>
      <c r="J20" t="str">
        <f>tbl_Rohdaten[[#This Row],[Description]]</f>
        <v>2.54 mm THT Dual Pin Header</v>
      </c>
      <c r="K20" s="7" t="str">
        <f>IF(tbl_Rohdaten[[#This Row],[Datasheet]]="","",HYPERLINK(tbl_Rohdaten[[#This Row],[Datasheet]],"Datasheet "&amp;Tabelle2[[#This Row],[Category]]))</f>
        <v>Datasheet Connector</v>
      </c>
      <c r="L20" t="str">
        <f>tbl_Rohdaten[[#This Row],[Manufacturer]]</f>
        <v>Wurth Elektronik</v>
      </c>
      <c r="M20" t="str">
        <f>tbl_Rohdaten[[#This Row],[Part Number]]</f>
        <v>61300821121</v>
      </c>
      <c r="N20" s="21" t="s">
        <v>249</v>
      </c>
      <c r="O20" s="11">
        <v>0</v>
      </c>
      <c r="P20" s="11">
        <f>Tabelle2[[#This Row],[Unit Price]]*Tabelle2[[#This Row],[Qty Order]]</f>
        <v>0</v>
      </c>
      <c r="Q20" s="20" t="b">
        <v>0</v>
      </c>
      <c r="R20" s="20" t="b">
        <v>0</v>
      </c>
    </row>
    <row r="21" spans="1:18" x14ac:dyDescent="0.2">
      <c r="A21" s="4">
        <v>20</v>
      </c>
      <c r="B21" s="5" t="s">
        <v>204</v>
      </c>
      <c r="C21" t="str">
        <f>tbl_Rohdaten[[#This Row],[Reference]]</f>
        <v>J7,J8</v>
      </c>
      <c r="D21">
        <f>tbl_Rohdaten[[#This Row],[Qty PCB]]</f>
        <v>2</v>
      </c>
      <c r="E21">
        <v>0</v>
      </c>
      <c r="F21">
        <f>(Tabelle2[[#This Row],[Qty PCB]]+Tabelle2[[#This Row],[Qty Reserve]])*$F$50</f>
        <v>6</v>
      </c>
      <c r="G21" t="str">
        <f>tbl_Rohdaten[[#This Row],[Manufacturer]]</f>
        <v>Wurth Elektronik</v>
      </c>
      <c r="H21" s="13" t="str">
        <f>tbl_Rohdaten[[#This Row],[Part Number]]</f>
        <v>690367191672</v>
      </c>
      <c r="I21" t="str">
        <f>tbl_Rohdaten[[#This Row],[Footprint]]</f>
        <v>Connector_THT_Wurth:J_Wurth_WR-MM_690367191672</v>
      </c>
      <c r="J21" t="str">
        <f>tbl_Rohdaten[[#This Row],[Description]]</f>
        <v>Female Connector with Latch &amp; w/o Polarization</v>
      </c>
      <c r="K21" s="7" t="str">
        <f>IF(tbl_Rohdaten[[#This Row],[Datasheet]]="","",HYPERLINK(tbl_Rohdaten[[#This Row],[Datasheet]],"Datasheet "&amp;Tabelle2[[#This Row],[Category]]))</f>
        <v>Datasheet Connector</v>
      </c>
      <c r="L21" t="str">
        <f>tbl_Rohdaten[[#This Row],[Manufacturer]]</f>
        <v>Wurth Elektronik</v>
      </c>
      <c r="M21" t="str">
        <f>tbl_Rohdaten[[#This Row],[Part Number]]</f>
        <v>690367191672</v>
      </c>
      <c r="N21" s="21" t="s">
        <v>249</v>
      </c>
      <c r="O21" s="11">
        <v>0</v>
      </c>
      <c r="P21" s="11">
        <f>Tabelle2[[#This Row],[Unit Price]]*Tabelle2[[#This Row],[Qty Order]]</f>
        <v>0</v>
      </c>
      <c r="Q21" s="20" t="b">
        <v>0</v>
      </c>
      <c r="R21" s="20" t="b">
        <v>0</v>
      </c>
    </row>
    <row r="22" spans="1:18" x14ac:dyDescent="0.2">
      <c r="A22" s="4">
        <v>21</v>
      </c>
      <c r="B22" s="5" t="s">
        <v>204</v>
      </c>
      <c r="C22" t="str">
        <f>tbl_Rohdaten[[#This Row],[Reference]]</f>
        <v>J11,J12</v>
      </c>
      <c r="D22">
        <f>tbl_Rohdaten[[#This Row],[Qty PCB]]</f>
        <v>2</v>
      </c>
      <c r="E22">
        <v>0</v>
      </c>
      <c r="F22">
        <f>(Tabelle2[[#This Row],[Qty PCB]]+Tabelle2[[#This Row],[Qty Reserve]])*$F$50</f>
        <v>6</v>
      </c>
      <c r="G22" t="str">
        <f>tbl_Rohdaten[[#This Row],[Manufacturer]]</f>
        <v>Wurth Elektronik</v>
      </c>
      <c r="H22" s="13" t="str">
        <f>tbl_Rohdaten[[#This Row],[Part Number]]</f>
        <v>690367190672</v>
      </c>
      <c r="I22" t="str">
        <f>tbl_Rohdaten[[#This Row],[Footprint]]</f>
        <v>Connector_THT_Wurth:J_Wurth_WR-MM_690367190672</v>
      </c>
      <c r="J22" t="str">
        <f>tbl_Rohdaten[[#This Row],[Description]]</f>
        <v>Female Connector with Latch &amp; w/o Polarization</v>
      </c>
      <c r="K22" s="7" t="str">
        <f>IF(tbl_Rohdaten[[#This Row],[Datasheet]]="","",HYPERLINK(tbl_Rohdaten[[#This Row],[Datasheet]],"Datasheet "&amp;Tabelle2[[#This Row],[Category]]))</f>
        <v>Datasheet Connector</v>
      </c>
      <c r="L22" t="str">
        <f>tbl_Rohdaten[[#This Row],[Manufacturer]]</f>
        <v>Wurth Elektronik</v>
      </c>
      <c r="M22" t="str">
        <f>tbl_Rohdaten[[#This Row],[Part Number]]</f>
        <v>690367190672</v>
      </c>
      <c r="N22" s="21" t="s">
        <v>249</v>
      </c>
      <c r="O22" s="11">
        <v>0</v>
      </c>
      <c r="P22" s="11">
        <f>Tabelle2[[#This Row],[Unit Price]]*Tabelle2[[#This Row],[Qty Order]]</f>
        <v>0</v>
      </c>
      <c r="Q22" s="20" t="b">
        <v>0</v>
      </c>
      <c r="R22" s="20" t="b">
        <v>0</v>
      </c>
    </row>
    <row r="23" spans="1:18" x14ac:dyDescent="0.2">
      <c r="A23" s="4">
        <v>22</v>
      </c>
      <c r="B23" s="5" t="s">
        <v>208</v>
      </c>
      <c r="C23" t="str">
        <f>tbl_Rohdaten[[#This Row],[Reference]]</f>
        <v>L1,L2,L3,L4</v>
      </c>
      <c r="D23">
        <f>tbl_Rohdaten[[#This Row],[Qty PCB]]</f>
        <v>4</v>
      </c>
      <c r="E23">
        <v>0</v>
      </c>
      <c r="F23">
        <f>(Tabelle2[[#This Row],[Qty PCB]]+Tabelle2[[#This Row],[Qty Reserve]])*$F$50</f>
        <v>12</v>
      </c>
      <c r="G23" t="s">
        <v>234</v>
      </c>
      <c r="H23" t="s">
        <v>234</v>
      </c>
      <c r="I23" t="str">
        <f>tbl_Rohdaten[[#This Row],[Footprint]]</f>
        <v>CUSTOM:Electromagnet</v>
      </c>
      <c r="J23" t="str">
        <f>tbl_Rohdaten[[#This Row],[Description]]</f>
        <v>Electromagnetic actor</v>
      </c>
      <c r="K23" t="s">
        <v>234</v>
      </c>
      <c r="L23" t="s">
        <v>235</v>
      </c>
      <c r="M23" t="str">
        <f>tbl_Rohdaten[[#This Row],[Part Number]]</f>
        <v/>
      </c>
      <c r="N23" s="21" t="s">
        <v>249</v>
      </c>
      <c r="O23" s="11">
        <v>0</v>
      </c>
      <c r="P23" s="11">
        <f>Tabelle2[[#This Row],[Unit Price]]*Tabelle2[[#This Row],[Qty Order]]</f>
        <v>0</v>
      </c>
      <c r="Q23" s="20" t="b">
        <v>1</v>
      </c>
      <c r="R23" s="20" t="b">
        <v>1</v>
      </c>
    </row>
    <row r="24" spans="1:18" x14ac:dyDescent="0.2">
      <c r="A24" s="4">
        <v>23</v>
      </c>
      <c r="B24" s="5" t="s">
        <v>209</v>
      </c>
      <c r="C24" t="str">
        <f>tbl_Rohdaten[[#This Row],[Reference]]</f>
        <v>L5</v>
      </c>
      <c r="D24">
        <f>tbl_Rohdaten[[#This Row],[Qty PCB]]</f>
        <v>1</v>
      </c>
      <c r="E24">
        <v>0</v>
      </c>
      <c r="F24">
        <f>(Tabelle2[[#This Row],[Qty PCB]]+Tabelle2[[#This Row],[Qty Reserve]])*$F$50</f>
        <v>3</v>
      </c>
      <c r="G24" t="str">
        <f>tbl_Rohdaten[[#This Row],[Manufacturer]]</f>
        <v>Wurth Elektronik</v>
      </c>
      <c r="H24" s="13" t="str">
        <f>tbl_Rohdaten[[#This Row],[Part Number]]</f>
        <v>744761020A</v>
      </c>
      <c r="I24" t="str">
        <f>tbl_Rohdaten[[#This Row],[Footprint]]</f>
        <v>Inductor_SMD_Wurth:L_Wurth_WE-KI-0603</v>
      </c>
      <c r="J24" t="str">
        <f>tbl_Rohdaten[[#This Row],[Description]]</f>
        <v>Wire Wound Ceramic Inductor</v>
      </c>
      <c r="K24" s="7" t="str">
        <f>IF(tbl_Rohdaten[[#This Row],[Datasheet]]="","",HYPERLINK(tbl_Rohdaten[[#This Row],[Datasheet]],"Datasheet "&amp;Tabelle2[[#This Row],[Category]]))</f>
        <v>Datasheet Inductor</v>
      </c>
      <c r="L24" t="str">
        <f>tbl_Rohdaten[[#This Row],[Manufacturer]]</f>
        <v>Wurth Elektronik</v>
      </c>
      <c r="M24" t="str">
        <f>tbl_Rohdaten[[#This Row],[Part Number]]</f>
        <v>744761020A</v>
      </c>
      <c r="N24" s="21" t="s">
        <v>249</v>
      </c>
      <c r="O24" s="11">
        <v>0</v>
      </c>
      <c r="P24" s="11">
        <f>Tabelle2[[#This Row],[Unit Price]]*Tabelle2[[#This Row],[Qty Order]]</f>
        <v>0</v>
      </c>
      <c r="Q24" s="20" t="b">
        <v>0</v>
      </c>
      <c r="R24" s="20" t="b">
        <v>0</v>
      </c>
    </row>
    <row r="25" spans="1:18" x14ac:dyDescent="0.2">
      <c r="A25" s="4">
        <v>24</v>
      </c>
      <c r="B25" s="5" t="s">
        <v>209</v>
      </c>
      <c r="C25" t="str">
        <f>tbl_Rohdaten[[#This Row],[Reference]]</f>
        <v>L6</v>
      </c>
      <c r="D25">
        <f>tbl_Rohdaten[[#This Row],[Qty PCB]]</f>
        <v>1</v>
      </c>
      <c r="E25">
        <v>0</v>
      </c>
      <c r="F25">
        <f>(Tabelle2[[#This Row],[Qty PCB]]+Tabelle2[[#This Row],[Qty Reserve]])*$F$50</f>
        <v>3</v>
      </c>
      <c r="G25" t="str">
        <f>tbl_Rohdaten[[#This Row],[Manufacturer]]</f>
        <v>Wurth Elektronik</v>
      </c>
      <c r="H25" s="13" t="str">
        <f>tbl_Rohdaten[[#This Row],[Part Number]]</f>
        <v>744761124A</v>
      </c>
      <c r="I25" t="str">
        <f>tbl_Rohdaten[[#This Row],[Footprint]]</f>
        <v>Inductor_SMD_Wurth:L_Wurth_WE-KI-0603</v>
      </c>
      <c r="J25" t="str">
        <f>tbl_Rohdaten[[#This Row],[Description]]</f>
        <v>Wire Wound Ceramic Inductor</v>
      </c>
      <c r="K25" s="7" t="str">
        <f>IF(tbl_Rohdaten[[#This Row],[Datasheet]]="","",HYPERLINK(tbl_Rohdaten[[#This Row],[Datasheet]],"Datasheet "&amp;Tabelle2[[#This Row],[Category]]))</f>
        <v>Datasheet Inductor</v>
      </c>
      <c r="L25" t="str">
        <f>tbl_Rohdaten[[#This Row],[Manufacturer]]</f>
        <v>Wurth Elektronik</v>
      </c>
      <c r="M25" t="str">
        <f>tbl_Rohdaten[[#This Row],[Part Number]]</f>
        <v>744761124A</v>
      </c>
      <c r="N25" s="21" t="s">
        <v>249</v>
      </c>
      <c r="O25" s="11">
        <v>0</v>
      </c>
      <c r="P25" s="11">
        <f>Tabelle2[[#This Row],[Unit Price]]*Tabelle2[[#This Row],[Qty Order]]</f>
        <v>0</v>
      </c>
      <c r="Q25" s="20" t="b">
        <v>0</v>
      </c>
      <c r="R25" s="20" t="b">
        <v>0</v>
      </c>
    </row>
    <row r="26" spans="1:18" x14ac:dyDescent="0.2">
      <c r="A26" s="4">
        <v>25</v>
      </c>
      <c r="B26" s="5" t="s">
        <v>210</v>
      </c>
      <c r="C26" t="str">
        <f>tbl_Rohdaten[[#This Row],[Reference]]</f>
        <v>POWER_LED2,Status_LED_RX1,Status_LED_TX1</v>
      </c>
      <c r="D26">
        <f>tbl_Rohdaten[[#This Row],[Qty PCB]]</f>
        <v>3</v>
      </c>
      <c r="E26">
        <v>0</v>
      </c>
      <c r="F26">
        <f>(Tabelle2[[#This Row],[Qty PCB]]+Tabelle2[[#This Row],[Qty Reserve]])*$F$50</f>
        <v>9</v>
      </c>
      <c r="G26" t="str">
        <f>tbl_Rohdaten[[#This Row],[Manufacturer]]</f>
        <v>Wurth Elektronik</v>
      </c>
      <c r="H26" s="13" t="str">
        <f>tbl_Rohdaten[[#This Row],[Part Number]]</f>
        <v>150060VS86000</v>
      </c>
      <c r="I26" t="str">
        <f>tbl_Rohdaten[[#This Row],[Footprint]]</f>
        <v>LED_SMD_Wurth:D_Wurth_WL-SMCW-0603dome</v>
      </c>
      <c r="J26" t="str">
        <f>tbl_Rohdaten[[#This Row],[Description]]</f>
        <v>Mono-color Chip LED Waterclear</v>
      </c>
      <c r="K26" s="7" t="str">
        <f>IF(tbl_Rohdaten[[#This Row],[Datasheet]]="","",HYPERLINK(tbl_Rohdaten[[#This Row],[Datasheet]],"Datasheet "&amp;Tabelle2[[#This Row],[Category]]))</f>
        <v>Datasheet LED</v>
      </c>
      <c r="L26" t="str">
        <f>tbl_Rohdaten[[#This Row],[Manufacturer]]</f>
        <v>Wurth Elektronik</v>
      </c>
      <c r="M26" t="str">
        <f>tbl_Rohdaten[[#This Row],[Part Number]]</f>
        <v>150060VS86000</v>
      </c>
      <c r="N26" s="21" t="s">
        <v>249</v>
      </c>
      <c r="O26" s="11">
        <v>0</v>
      </c>
      <c r="P26" s="11">
        <f>Tabelle2[[#This Row],[Unit Price]]*Tabelle2[[#This Row],[Qty Order]]</f>
        <v>0</v>
      </c>
      <c r="Q26" s="20" t="b">
        <v>0</v>
      </c>
      <c r="R26" s="20" t="b">
        <v>0</v>
      </c>
    </row>
    <row r="27" spans="1:18" x14ac:dyDescent="0.2">
      <c r="A27" s="4">
        <v>26</v>
      </c>
      <c r="B27" s="5" t="s">
        <v>211</v>
      </c>
      <c r="C27" t="str">
        <f>tbl_Rohdaten[[#This Row],[Reference]]</f>
        <v>R1,R2</v>
      </c>
      <c r="D27">
        <f>tbl_Rohdaten[[#This Row],[Qty PCB]]</f>
        <v>2</v>
      </c>
      <c r="E27">
        <v>0</v>
      </c>
      <c r="F27">
        <f>(Tabelle2[[#This Row],[Qty PCB]]+Tabelle2[[#This Row],[Qty Reserve]])*$F$50</f>
        <v>6</v>
      </c>
      <c r="G27" t="str">
        <f>tbl_Rohdaten[[#This Row],[Manufacturer]]</f>
        <v>Wurth Elektronik</v>
      </c>
      <c r="H27" s="13" t="str">
        <f>tbl_Rohdaten[[#This Row],[Part Number]]</f>
        <v>560112120019</v>
      </c>
      <c r="I27" t="str">
        <f>tbl_Rohdaten[[#This Row],[Footprint]]</f>
        <v>Resistor_SMD_Wurth:R_Wurth_WRIS-RSKS-0805_R</v>
      </c>
      <c r="J27" t="str">
        <f>tbl_Rohdaten[[#This Row],[Description]]</f>
        <v>Anti-Sulfur Thick Film Resistors</v>
      </c>
      <c r="K27" s="7" t="str">
        <f>IF(tbl_Rohdaten[[#This Row],[Datasheet]]="","",HYPERLINK(tbl_Rohdaten[[#This Row],[Datasheet]],"Datasheet "&amp;Tabelle2[[#This Row],[Category]]))</f>
        <v>Datasheet Resistor</v>
      </c>
      <c r="L27" t="str">
        <f>tbl_Rohdaten[[#This Row],[Manufacturer]]</f>
        <v>Wurth Elektronik</v>
      </c>
      <c r="M27" t="str">
        <f>tbl_Rohdaten[[#This Row],[Part Number]]</f>
        <v>560112120019</v>
      </c>
      <c r="N27" s="21" t="s">
        <v>249</v>
      </c>
      <c r="O27" s="11">
        <v>0</v>
      </c>
      <c r="P27" s="11">
        <f>Tabelle2[[#This Row],[Unit Price]]*Tabelle2[[#This Row],[Qty Order]]</f>
        <v>0</v>
      </c>
      <c r="Q27" s="20" t="b">
        <v>0</v>
      </c>
      <c r="R27" s="20" t="b">
        <v>0</v>
      </c>
    </row>
    <row r="28" spans="1:18" x14ac:dyDescent="0.2">
      <c r="A28" s="4">
        <v>27</v>
      </c>
      <c r="B28" s="5" t="s">
        <v>211</v>
      </c>
      <c r="C28" t="str">
        <f>tbl_Rohdaten[[#This Row],[Reference]]</f>
        <v>R3,R4,R11</v>
      </c>
      <c r="D28">
        <f>tbl_Rohdaten[[#This Row],[Qty PCB]]</f>
        <v>3</v>
      </c>
      <c r="E28">
        <v>0</v>
      </c>
      <c r="F28">
        <f>(Tabelle2[[#This Row],[Qty PCB]]+Tabelle2[[#This Row],[Qty Reserve]])*$F$50</f>
        <v>9</v>
      </c>
      <c r="G28" t="str">
        <f>tbl_Rohdaten[[#This Row],[Manufacturer]]</f>
        <v>Wurth Elektronik</v>
      </c>
      <c r="H28" s="13" t="str">
        <f>tbl_Rohdaten[[#This Row],[Part Number]]</f>
        <v>560112132018</v>
      </c>
      <c r="I28" t="str">
        <f>tbl_Rohdaten[[#This Row],[Footprint]]</f>
        <v>Resistor_SMD_Wurth:R_Wurth_WRIS-RSKS-1206_R</v>
      </c>
      <c r="J28" t="str">
        <f>tbl_Rohdaten[[#This Row],[Description]]</f>
        <v>Anti-Sulfur Thick Film Resistors</v>
      </c>
      <c r="K28" s="7" t="str">
        <f>IF(tbl_Rohdaten[[#This Row],[Datasheet]]="","",HYPERLINK(tbl_Rohdaten[[#This Row],[Datasheet]],"Datasheet "&amp;Tabelle2[[#This Row],[Category]]))</f>
        <v>Datasheet Resistor</v>
      </c>
      <c r="L28" t="str">
        <f>tbl_Rohdaten[[#This Row],[Manufacturer]]</f>
        <v>Wurth Elektronik</v>
      </c>
      <c r="M28" t="str">
        <f>tbl_Rohdaten[[#This Row],[Part Number]]</f>
        <v>560112132018</v>
      </c>
      <c r="N28" s="21" t="s">
        <v>249</v>
      </c>
      <c r="O28" s="11">
        <v>0</v>
      </c>
      <c r="P28" s="11">
        <f>Tabelle2[[#This Row],[Unit Price]]*Tabelle2[[#This Row],[Qty Order]]</f>
        <v>0</v>
      </c>
      <c r="Q28" s="20" t="b">
        <v>0</v>
      </c>
      <c r="R28" s="20" t="b">
        <v>0</v>
      </c>
    </row>
    <row r="29" spans="1:18" x14ac:dyDescent="0.2">
      <c r="A29" s="4">
        <v>28</v>
      </c>
      <c r="B29" s="5" t="s">
        <v>211</v>
      </c>
      <c r="C29" t="str">
        <f>tbl_Rohdaten[[#This Row],[Reference]]</f>
        <v>R6,R7</v>
      </c>
      <c r="D29">
        <f>tbl_Rohdaten[[#This Row],[Qty PCB]]</f>
        <v>2</v>
      </c>
      <c r="E29">
        <v>0</v>
      </c>
      <c r="F29">
        <f>(Tabelle2[[#This Row],[Qty PCB]]+Tabelle2[[#This Row],[Qty Reserve]])*$F$50</f>
        <v>6</v>
      </c>
      <c r="G29" t="str">
        <f>tbl_Rohdaten[[#This Row],[Manufacturer]]</f>
        <v>Wurth Elektronik</v>
      </c>
      <c r="H29" s="13" t="str">
        <f>tbl_Rohdaten[[#This Row],[Part Number]]</f>
        <v>560112132050</v>
      </c>
      <c r="I29" t="str">
        <f>tbl_Rohdaten[[#This Row],[Footprint]]</f>
        <v>Resistor_SMD_Wurth:R_Wurth_WRIS-RSKS-1206_R</v>
      </c>
      <c r="J29" t="str">
        <f>tbl_Rohdaten[[#This Row],[Description]]</f>
        <v>Anti-Sulfur Thick Film Resistors</v>
      </c>
      <c r="K29" s="7" t="str">
        <f>IF(tbl_Rohdaten[[#This Row],[Datasheet]]="","",HYPERLINK(tbl_Rohdaten[[#This Row],[Datasheet]],"Datasheet "&amp;Tabelle2[[#This Row],[Category]]))</f>
        <v>Datasheet Resistor</v>
      </c>
      <c r="L29" t="str">
        <f>tbl_Rohdaten[[#This Row],[Manufacturer]]</f>
        <v>Wurth Elektronik</v>
      </c>
      <c r="M29" t="str">
        <f>tbl_Rohdaten[[#This Row],[Part Number]]</f>
        <v>560112132050</v>
      </c>
      <c r="N29" s="21" t="s">
        <v>249</v>
      </c>
      <c r="O29" s="11">
        <v>0</v>
      </c>
      <c r="P29" s="11">
        <f>Tabelle2[[#This Row],[Unit Price]]*Tabelle2[[#This Row],[Qty Order]]</f>
        <v>0</v>
      </c>
      <c r="Q29" s="20" t="b">
        <v>0</v>
      </c>
      <c r="R29" s="20" t="b">
        <v>0</v>
      </c>
    </row>
    <row r="30" spans="1:18" x14ac:dyDescent="0.2">
      <c r="A30" s="4">
        <v>29</v>
      </c>
      <c r="B30" s="5" t="s">
        <v>211</v>
      </c>
      <c r="C30" t="str">
        <f>tbl_Rohdaten[[#This Row],[Reference]]</f>
        <v>R8,R9,R10</v>
      </c>
      <c r="D30">
        <f>tbl_Rohdaten[[#This Row],[Qty PCB]]</f>
        <v>3</v>
      </c>
      <c r="E30">
        <v>0</v>
      </c>
      <c r="F30">
        <f>(Tabelle2[[#This Row],[Qty PCB]]+Tabelle2[[#This Row],[Qty Reserve]])*$F$50</f>
        <v>9</v>
      </c>
      <c r="G30" t="str">
        <f>tbl_Rohdaten[[#This Row],[Manufacturer]]</f>
        <v>Wurth Elektronik</v>
      </c>
      <c r="H30" s="13" t="str">
        <f>tbl_Rohdaten[[#This Row],[Part Number]]</f>
        <v>560112120030</v>
      </c>
      <c r="I30" t="str">
        <f>tbl_Rohdaten[[#This Row],[Footprint]]</f>
        <v>Resistor_SMD_Wurth:R_Wurth_WRIS-RSKS-0805_R</v>
      </c>
      <c r="J30" t="str">
        <f>tbl_Rohdaten[[#This Row],[Description]]</f>
        <v>Anti-Sulfur Thick Film Resistors</v>
      </c>
      <c r="K30" s="7" t="str">
        <f>IF(tbl_Rohdaten[[#This Row],[Datasheet]]="","",HYPERLINK(tbl_Rohdaten[[#This Row],[Datasheet]],"Datasheet "&amp;Tabelle2[[#This Row],[Category]]))</f>
        <v>Datasheet Resistor</v>
      </c>
      <c r="L30" t="str">
        <f>tbl_Rohdaten[[#This Row],[Manufacturer]]</f>
        <v>Wurth Elektronik</v>
      </c>
      <c r="M30" t="str">
        <f>tbl_Rohdaten[[#This Row],[Part Number]]</f>
        <v>560112120030</v>
      </c>
      <c r="N30" s="21" t="s">
        <v>249</v>
      </c>
      <c r="O30" s="11">
        <v>0</v>
      </c>
      <c r="P30" s="11">
        <f>Tabelle2[[#This Row],[Unit Price]]*Tabelle2[[#This Row],[Qty Order]]</f>
        <v>0</v>
      </c>
      <c r="Q30" s="20" t="b">
        <v>0</v>
      </c>
      <c r="R30" s="20" t="b">
        <v>0</v>
      </c>
    </row>
    <row r="31" spans="1:18" x14ac:dyDescent="0.2">
      <c r="A31" s="4">
        <v>30</v>
      </c>
      <c r="B31" s="5" t="s">
        <v>211</v>
      </c>
      <c r="C31" t="str">
        <f>tbl_Rohdaten[[#This Row],[Reference]]</f>
        <v>R12,R13,R16,R17</v>
      </c>
      <c r="D31">
        <f>tbl_Rohdaten[[#This Row],[Qty PCB]]</f>
        <v>4</v>
      </c>
      <c r="E31">
        <v>0</v>
      </c>
      <c r="F31">
        <f>(Tabelle2[[#This Row],[Qty PCB]]+Tabelle2[[#This Row],[Qty Reserve]])*$F$50</f>
        <v>12</v>
      </c>
      <c r="G31" t="str">
        <f>tbl_Rohdaten[[#This Row],[Manufacturer]]</f>
        <v>Wurth Elektronik</v>
      </c>
      <c r="H31" s="13" t="str">
        <f>tbl_Rohdaten[[#This Row],[Part Number]]</f>
        <v>560112132019</v>
      </c>
      <c r="I31" t="str">
        <f>tbl_Rohdaten[[#This Row],[Footprint]]</f>
        <v>Resistor_SMD_Wurth:R_Wurth_WRIS-RSKS-1206_R</v>
      </c>
      <c r="J31" t="str">
        <f>tbl_Rohdaten[[#This Row],[Description]]</f>
        <v>Anti-Sulfur Thick Film Resistors</v>
      </c>
      <c r="K31" s="7" t="str">
        <f>IF(tbl_Rohdaten[[#This Row],[Datasheet]]="","",HYPERLINK(tbl_Rohdaten[[#This Row],[Datasheet]],"Datasheet "&amp;Tabelle2[[#This Row],[Category]]))</f>
        <v>Datasheet Resistor</v>
      </c>
      <c r="L31" t="str">
        <f>tbl_Rohdaten[[#This Row],[Manufacturer]]</f>
        <v>Wurth Elektronik</v>
      </c>
      <c r="M31" t="str">
        <f>tbl_Rohdaten[[#This Row],[Part Number]]</f>
        <v>560112132019</v>
      </c>
      <c r="N31" s="21" t="s">
        <v>249</v>
      </c>
      <c r="O31" s="11">
        <v>0</v>
      </c>
      <c r="P31" s="11">
        <f>Tabelle2[[#This Row],[Unit Price]]*Tabelle2[[#This Row],[Qty Order]]</f>
        <v>0</v>
      </c>
      <c r="Q31" s="20" t="b">
        <v>0</v>
      </c>
      <c r="R31" s="20" t="b">
        <v>0</v>
      </c>
    </row>
    <row r="32" spans="1:18" x14ac:dyDescent="0.2">
      <c r="A32" s="4">
        <v>31</v>
      </c>
      <c r="B32" s="5" t="s">
        <v>211</v>
      </c>
      <c r="C32" t="str">
        <f>tbl_Rohdaten[[#This Row],[Reference]]</f>
        <v>R18</v>
      </c>
      <c r="D32">
        <f>tbl_Rohdaten[[#This Row],[Qty PCB]]</f>
        <v>1</v>
      </c>
      <c r="E32">
        <v>0</v>
      </c>
      <c r="F32">
        <f>(Tabelle2[[#This Row],[Qty PCB]]+Tabelle2[[#This Row],[Qty Reserve]])*$F$50</f>
        <v>3</v>
      </c>
      <c r="G32" t="str">
        <f>tbl_Rohdaten[[#This Row],[Manufacturer]]</f>
        <v>Wurth Elektronik</v>
      </c>
      <c r="H32" s="13" t="str">
        <f>tbl_Rohdaten[[#This Row],[Part Number]]</f>
        <v>560112116101</v>
      </c>
      <c r="I32" t="str">
        <f>tbl_Rohdaten[[#This Row],[Footprint]]</f>
        <v>Resistor_SMD_Wurth:R_Wurth_WRIS-RSKS-0603_R</v>
      </c>
      <c r="J32" t="str">
        <f>tbl_Rohdaten[[#This Row],[Description]]</f>
        <v>Anti-Sulfur Thick Film Resistors</v>
      </c>
      <c r="K32" s="7" t="str">
        <f>IF(tbl_Rohdaten[[#This Row],[Datasheet]]="","",HYPERLINK(tbl_Rohdaten[[#This Row],[Datasheet]],"Datasheet "&amp;Tabelle2[[#This Row],[Category]]))</f>
        <v>Datasheet Resistor</v>
      </c>
      <c r="L32" t="str">
        <f>tbl_Rohdaten[[#This Row],[Manufacturer]]</f>
        <v>Wurth Elektronik</v>
      </c>
      <c r="M32" t="str">
        <f>tbl_Rohdaten[[#This Row],[Part Number]]</f>
        <v>560112116101</v>
      </c>
      <c r="N32" s="21" t="s">
        <v>249</v>
      </c>
      <c r="O32" s="11">
        <v>0</v>
      </c>
      <c r="P32" s="11">
        <f>Tabelle2[[#This Row],[Unit Price]]*Tabelle2[[#This Row],[Qty Order]]</f>
        <v>0</v>
      </c>
      <c r="Q32" s="20" t="b">
        <v>0</v>
      </c>
      <c r="R32" s="20" t="b">
        <v>0</v>
      </c>
    </row>
    <row r="33" spans="1:18" x14ac:dyDescent="0.2">
      <c r="A33" s="4">
        <v>32</v>
      </c>
      <c r="B33" s="5" t="s">
        <v>211</v>
      </c>
      <c r="C33" t="str">
        <f>tbl_Rohdaten[[#This Row],[Reference]]</f>
        <v>R19</v>
      </c>
      <c r="D33">
        <f>tbl_Rohdaten[[#This Row],[Qty PCB]]</f>
        <v>1</v>
      </c>
      <c r="E33">
        <v>0</v>
      </c>
      <c r="F33">
        <f>(Tabelle2[[#This Row],[Qty PCB]]+Tabelle2[[#This Row],[Qty Reserve]])*$F$50</f>
        <v>3</v>
      </c>
      <c r="G33" t="str">
        <f>tbl_Rohdaten[[#This Row],[Manufacturer]]</f>
        <v>Wurth Elektronik</v>
      </c>
      <c r="H33" s="13" t="str">
        <f>tbl_Rohdaten[[#This Row],[Part Number]]</f>
        <v>560112110016</v>
      </c>
      <c r="I33" t="str">
        <f>tbl_Rohdaten[[#This Row],[Footprint]]</f>
        <v>Resistor_SMD_Wurth:R_Wurth_WRIS-RSKS-0402</v>
      </c>
      <c r="J33" t="str">
        <f>tbl_Rohdaten[[#This Row],[Description]]</f>
        <v>Anti-Sulfur Thick Film Resistors</v>
      </c>
      <c r="K33" s="7" t="str">
        <f>IF(tbl_Rohdaten[[#This Row],[Datasheet]]="","",HYPERLINK(tbl_Rohdaten[[#This Row],[Datasheet]],"Datasheet "&amp;Tabelle2[[#This Row],[Category]]))</f>
        <v>Datasheet Resistor</v>
      </c>
      <c r="L33" t="str">
        <f>tbl_Rohdaten[[#This Row],[Manufacturer]]</f>
        <v>Wurth Elektronik</v>
      </c>
      <c r="M33" t="str">
        <f>tbl_Rohdaten[[#This Row],[Part Number]]</f>
        <v>560112110016</v>
      </c>
      <c r="N33" s="21" t="s">
        <v>249</v>
      </c>
      <c r="O33" s="11">
        <v>0</v>
      </c>
      <c r="P33" s="11">
        <f>Tabelle2[[#This Row],[Unit Price]]*Tabelle2[[#This Row],[Qty Order]]</f>
        <v>0</v>
      </c>
      <c r="Q33" s="20" t="b">
        <v>0</v>
      </c>
      <c r="R33" s="20" t="b">
        <v>0</v>
      </c>
    </row>
    <row r="34" spans="1:18" x14ac:dyDescent="0.2">
      <c r="A34" s="4">
        <v>33</v>
      </c>
      <c r="B34" s="5" t="s">
        <v>211</v>
      </c>
      <c r="C34" t="str">
        <f>tbl_Rohdaten[[#This Row],[Reference]]</f>
        <v>R20,R25,R30,R35</v>
      </c>
      <c r="D34">
        <f>tbl_Rohdaten[[#This Row],[Qty PCB]]</f>
        <v>4</v>
      </c>
      <c r="E34">
        <v>0</v>
      </c>
      <c r="F34">
        <f>(Tabelle2[[#This Row],[Qty PCB]]+Tabelle2[[#This Row],[Qty Reserve]])*$F$50</f>
        <v>12</v>
      </c>
      <c r="G34" t="str">
        <f>tbl_Rohdaten[[#This Row],[Manufacturer]]</f>
        <v>Wurth Elektronik</v>
      </c>
      <c r="H34" s="13" t="str">
        <f>tbl_Rohdaten[[#This Row],[Part Number]]</f>
        <v>560112132041</v>
      </c>
      <c r="I34" t="str">
        <f>tbl_Rohdaten[[#This Row],[Footprint]]</f>
        <v>Resistor_SMD_Wurth:R_Wurth_WRIS-RSKS-1206_R</v>
      </c>
      <c r="J34" t="str">
        <f>tbl_Rohdaten[[#This Row],[Description]]</f>
        <v>Anti-Sulfur Thick Film Resistors</v>
      </c>
      <c r="K34" s="7" t="str">
        <f>IF(tbl_Rohdaten[[#This Row],[Datasheet]]="","",HYPERLINK(tbl_Rohdaten[[#This Row],[Datasheet]],"Datasheet "&amp;Tabelle2[[#This Row],[Category]]))</f>
        <v>Datasheet Resistor</v>
      </c>
      <c r="L34" t="str">
        <f>tbl_Rohdaten[[#This Row],[Manufacturer]]</f>
        <v>Wurth Elektronik</v>
      </c>
      <c r="M34" t="str">
        <f>tbl_Rohdaten[[#This Row],[Part Number]]</f>
        <v>560112132041</v>
      </c>
      <c r="N34" s="21" t="s">
        <v>249</v>
      </c>
      <c r="O34" s="11">
        <v>0</v>
      </c>
      <c r="P34" s="11">
        <f>Tabelle2[[#This Row],[Unit Price]]*Tabelle2[[#This Row],[Qty Order]]</f>
        <v>0</v>
      </c>
      <c r="Q34" s="20" t="b">
        <v>0</v>
      </c>
      <c r="R34" s="20" t="b">
        <v>0</v>
      </c>
    </row>
    <row r="35" spans="1:18" x14ac:dyDescent="0.2">
      <c r="A35" s="4">
        <v>34</v>
      </c>
      <c r="B35" s="5" t="s">
        <v>211</v>
      </c>
      <c r="C35" t="str">
        <f>tbl_Rohdaten[[#This Row],[Reference]]</f>
        <v>R21,R26,R31,R36</v>
      </c>
      <c r="D35">
        <f>tbl_Rohdaten[[#This Row],[Qty PCB]]</f>
        <v>4</v>
      </c>
      <c r="E35">
        <v>0</v>
      </c>
      <c r="F35">
        <f>(Tabelle2[[#This Row],[Qty PCB]]+Tabelle2[[#This Row],[Qty Reserve]])*$F$50</f>
        <v>12</v>
      </c>
      <c r="G35" t="str">
        <f>tbl_Rohdaten[[#This Row],[Manufacturer]]</f>
        <v>Wurth Elektronik</v>
      </c>
      <c r="H35" s="13" t="str">
        <f>tbl_Rohdaten[[#This Row],[Part Number]]</f>
        <v>560112116048</v>
      </c>
      <c r="I35" t="str">
        <f>tbl_Rohdaten[[#This Row],[Footprint]]</f>
        <v>Resistor_SMD_Wurth:R_Wurth_WRIS-RSKS-0603_R</v>
      </c>
      <c r="J35" t="str">
        <f>tbl_Rohdaten[[#This Row],[Description]]</f>
        <v>Anti-Sulfur Thick Film Resistors</v>
      </c>
      <c r="K35" s="7" t="str">
        <f>IF(tbl_Rohdaten[[#This Row],[Datasheet]]="","",HYPERLINK(tbl_Rohdaten[[#This Row],[Datasheet]],"Datasheet "&amp;Tabelle2[[#This Row],[Category]]))</f>
        <v>Datasheet Resistor</v>
      </c>
      <c r="L35" t="str">
        <f>tbl_Rohdaten[[#This Row],[Manufacturer]]</f>
        <v>Wurth Elektronik</v>
      </c>
      <c r="M35" t="str">
        <f>tbl_Rohdaten[[#This Row],[Part Number]]</f>
        <v>560112116048</v>
      </c>
      <c r="N35" s="21" t="s">
        <v>249</v>
      </c>
      <c r="O35" s="11">
        <v>0</v>
      </c>
      <c r="P35" s="11">
        <f>Tabelle2[[#This Row],[Unit Price]]*Tabelle2[[#This Row],[Qty Order]]</f>
        <v>0</v>
      </c>
      <c r="Q35" s="20" t="b">
        <v>0</v>
      </c>
      <c r="R35" s="20" t="b">
        <v>0</v>
      </c>
    </row>
    <row r="36" spans="1:18" x14ac:dyDescent="0.2">
      <c r="A36" s="4">
        <v>35</v>
      </c>
      <c r="B36" s="5" t="s">
        <v>211</v>
      </c>
      <c r="C36" t="str">
        <f>tbl_Rohdaten[[#This Row],[Reference]]</f>
        <v>R22,R23,R24,R27,R28,R29,R32,R33,R34,R37,R38,R39</v>
      </c>
      <c r="D36">
        <f>tbl_Rohdaten[[#This Row],[Qty PCB]]</f>
        <v>12</v>
      </c>
      <c r="E36">
        <v>0</v>
      </c>
      <c r="F36">
        <f>(Tabelle2[[#This Row],[Qty PCB]]+Tabelle2[[#This Row],[Qty Reserve]])*$F$50</f>
        <v>36</v>
      </c>
      <c r="G36" t="str">
        <f>tbl_Rohdaten[[#This Row],[Manufacturer]]</f>
        <v>Wurth Elektronik</v>
      </c>
      <c r="H36" s="13" t="str">
        <f>tbl_Rohdaten[[#This Row],[Part Number]]</f>
        <v>560112120002</v>
      </c>
      <c r="I36" t="str">
        <f>tbl_Rohdaten[[#This Row],[Footprint]]</f>
        <v>Resistor_SMD_Wurth:R_Wurth_WRIS-RSKS-0805_R</v>
      </c>
      <c r="J36" t="str">
        <f>tbl_Rohdaten[[#This Row],[Description]]</f>
        <v>Anti-Sulfur Thick Film Resistors</v>
      </c>
      <c r="K36" s="7" t="str">
        <f>IF(tbl_Rohdaten[[#This Row],[Datasheet]]="","",HYPERLINK(tbl_Rohdaten[[#This Row],[Datasheet]],"Datasheet "&amp;Tabelle2[[#This Row],[Category]]))</f>
        <v>Datasheet Resistor</v>
      </c>
      <c r="L36" t="str">
        <f>tbl_Rohdaten[[#This Row],[Manufacturer]]</f>
        <v>Wurth Elektronik</v>
      </c>
      <c r="M36" t="str">
        <f>tbl_Rohdaten[[#This Row],[Part Number]]</f>
        <v>560112120002</v>
      </c>
      <c r="N36" s="21" t="s">
        <v>249</v>
      </c>
      <c r="O36" s="11">
        <v>0</v>
      </c>
      <c r="P36" s="11">
        <f>Tabelle2[[#This Row],[Unit Price]]*Tabelle2[[#This Row],[Qty Order]]</f>
        <v>0</v>
      </c>
      <c r="Q36" s="20" t="b">
        <v>0</v>
      </c>
      <c r="R36" s="20" t="b">
        <v>0</v>
      </c>
    </row>
    <row r="37" spans="1:18" x14ac:dyDescent="0.2">
      <c r="A37" s="4">
        <v>36</v>
      </c>
      <c r="B37" s="5" t="s">
        <v>212</v>
      </c>
      <c r="C37" t="str">
        <f>tbl_Rohdaten[[#This Row],[Reference]]</f>
        <v>U1</v>
      </c>
      <c r="D37">
        <f>tbl_Rohdaten[[#This Row],[Qty PCB]]</f>
        <v>1</v>
      </c>
      <c r="E37">
        <v>0</v>
      </c>
      <c r="F37">
        <f>(Tabelle2[[#This Row],[Qty PCB]]+Tabelle2[[#This Row],[Qty Reserve]])*$F$50</f>
        <v>3</v>
      </c>
      <c r="G37" t="str">
        <f>tbl_Rohdaten[[#This Row],[Manufacturer]]</f>
        <v>Wurth Elektronik</v>
      </c>
      <c r="H37" s="13" t="str">
        <f>tbl_Rohdaten[[#This Row],[Part Number]]</f>
        <v>82400102</v>
      </c>
      <c r="I37" t="str">
        <f>tbl_Rohdaten[[#This Row],[Footprint]]</f>
        <v>Package_TO_SOT_SMD:SOT-23-6</v>
      </c>
      <c r="J37" t="str">
        <f>tbl_Rohdaten[[#This Row],[Description]]</f>
        <v>Low Capacitance TVS Diode Array, 2 Channels, SOT-23-6</v>
      </c>
      <c r="K37" s="7" t="str">
        <f>IF(tbl_Rohdaten[[#This Row],[Datasheet]]="","",HYPERLINK(tbl_Rohdaten[[#This Row],[Datasheet]],"Datasheet "&amp;Tabelle2[[#This Row],[Category]]))</f>
        <v>Datasheet TVS diode</v>
      </c>
      <c r="L37" t="str">
        <f>tbl_Rohdaten[[#This Row],[Manufacturer]]</f>
        <v>Wurth Elektronik</v>
      </c>
      <c r="M37" t="str">
        <f>tbl_Rohdaten[[#This Row],[Part Number]]</f>
        <v>82400102</v>
      </c>
      <c r="N37" s="21" t="s">
        <v>249</v>
      </c>
      <c r="O37" s="11">
        <v>0</v>
      </c>
      <c r="P37" s="11">
        <f>Tabelle2[[#This Row],[Unit Price]]*Tabelle2[[#This Row],[Qty Order]]</f>
        <v>0</v>
      </c>
      <c r="Q37" s="20" t="b">
        <v>0</v>
      </c>
      <c r="R37" s="20" t="b">
        <v>0</v>
      </c>
    </row>
    <row r="38" spans="1:18" x14ac:dyDescent="0.2">
      <c r="A38" s="4">
        <v>37</v>
      </c>
      <c r="B38" s="5" t="s">
        <v>213</v>
      </c>
      <c r="C38" t="str">
        <f>tbl_Rohdaten[[#This Row],[Reference]]</f>
        <v>U2</v>
      </c>
      <c r="D38">
        <f>tbl_Rohdaten[[#This Row],[Qty PCB]]</f>
        <v>1</v>
      </c>
      <c r="E38">
        <v>0</v>
      </c>
      <c r="F38">
        <f>(Tabelle2[[#This Row],[Qty PCB]]+Tabelle2[[#This Row],[Qty Reserve]])*$F$50</f>
        <v>3</v>
      </c>
      <c r="G38" t="str">
        <f>tbl_Rohdaten[[#This Row],[Manufacturer]]</f>
        <v>Espressif</v>
      </c>
      <c r="H38" s="13" t="str">
        <f>tbl_Rohdaten[[#This Row],[Part Number]]</f>
        <v>ESP32-C3FH4</v>
      </c>
      <c r="I38" t="str">
        <f>tbl_Rohdaten[[#This Row],[Footprint]]</f>
        <v>Package_DFN_QFN:QFN-32-1EP_5x5mm_P0.5mm_EP3.45x3.45mm</v>
      </c>
      <c r="J38" t="s">
        <v>218</v>
      </c>
      <c r="K38" s="7" t="str">
        <f>IF(tbl_Rohdaten[[#This Row],[Datasheet]]="","",HYPERLINK(tbl_Rohdaten[[#This Row],[Datasheet]],"Datasheet "&amp;Tabelle2[[#This Row],[Category]]))</f>
        <v>Datasheet Microcontroller</v>
      </c>
      <c r="L38" t="s">
        <v>239</v>
      </c>
      <c r="M38" t="s">
        <v>256</v>
      </c>
      <c r="N38" s="21" t="s">
        <v>255</v>
      </c>
      <c r="O38" s="11">
        <v>2.15</v>
      </c>
      <c r="P38" s="11">
        <f>Tabelle2[[#This Row],[Unit Price]]*Tabelle2[[#This Row],[Qty Order]]</f>
        <v>6.4499999999999993</v>
      </c>
      <c r="Q38" s="20" t="b">
        <v>0</v>
      </c>
      <c r="R38" s="20" t="b">
        <v>0</v>
      </c>
    </row>
    <row r="39" spans="1:18" x14ac:dyDescent="0.2">
      <c r="A39" s="4">
        <v>38</v>
      </c>
      <c r="B39" s="5" t="s">
        <v>214</v>
      </c>
      <c r="C39" t="str">
        <f>tbl_Rohdaten[[#This Row],[Reference]]</f>
        <v>U4</v>
      </c>
      <c r="D39">
        <f>tbl_Rohdaten[[#This Row],[Qty PCB]]</f>
        <v>1</v>
      </c>
      <c r="E39">
        <v>0</v>
      </c>
      <c r="F39">
        <f>(Tabelle2[[#This Row],[Qty PCB]]+Tabelle2[[#This Row],[Qty Reserve]])*$F$50</f>
        <v>3</v>
      </c>
      <c r="G39" t="str">
        <f>tbl_Rohdaten[[#This Row],[Manufacturer]]</f>
        <v>Texas Instruments</v>
      </c>
      <c r="H39" s="13" t="str">
        <f>tbl_Rohdaten[[#This Row],[Part Number]]</f>
        <v>TMAG5173A2QDBVRQ1</v>
      </c>
      <c r="I39" t="str">
        <f>tbl_Rohdaten[[#This Row],[Footprint]]</f>
        <v>SOT95P280X145-6N:SOT95P280X145-6N</v>
      </c>
      <c r="J39" t="str">
        <f>tbl_Rohdaten[[#This Row],[Description]]</f>
        <v>Automotive, high-precision, linear 3D Hall-effect sensor with I²C interface</v>
      </c>
      <c r="K39" s="7" t="str">
        <f>IF(tbl_Rohdaten[[#This Row],[Datasheet]]="","",HYPERLINK(tbl_Rohdaten[[#This Row],[Datasheet]],"Datasheet "&amp;Tabelle2[[#This Row],[Category]]))</f>
        <v>Datasheet 3D-Hallsensor</v>
      </c>
      <c r="L39" t="s">
        <v>239</v>
      </c>
      <c r="M39" t="s">
        <v>246</v>
      </c>
      <c r="N39" s="21" t="s">
        <v>245</v>
      </c>
      <c r="O39" s="11">
        <v>1.69</v>
      </c>
      <c r="P39" s="11">
        <f>Tabelle2[[#This Row],[Unit Price]]*Tabelle2[[#This Row],[Qty Order]]</f>
        <v>5.07</v>
      </c>
      <c r="Q39" s="20" t="b">
        <v>0</v>
      </c>
      <c r="R39" s="20" t="b">
        <v>0</v>
      </c>
    </row>
    <row r="40" spans="1:18" x14ac:dyDescent="0.2">
      <c r="A40" s="4">
        <v>39</v>
      </c>
      <c r="B40" s="5" t="s">
        <v>215</v>
      </c>
      <c r="C40" t="str">
        <f>tbl_Rohdaten[[#This Row],[Reference]]</f>
        <v>U5</v>
      </c>
      <c r="D40">
        <f>tbl_Rohdaten[[#This Row],[Qty PCB]]</f>
        <v>1</v>
      </c>
      <c r="E40">
        <v>0</v>
      </c>
      <c r="F40">
        <f>(Tabelle2[[#This Row],[Qty PCB]]+Tabelle2[[#This Row],[Qty Reserve]])*$F$50</f>
        <v>3</v>
      </c>
      <c r="G40" t="str">
        <f>tbl_Rohdaten[[#This Row],[Manufacturer]]</f>
        <v>Texas Instruments</v>
      </c>
      <c r="H40" s="13" t="str">
        <f>tbl_Rohdaten[[#This Row],[Part Number]]</f>
        <v>TPS259474ARPWR</v>
      </c>
      <c r="I40" t="str">
        <f>tbl_Rohdaten[[#This Row],[Footprint]]</f>
        <v>TPS259474ARPWR:IC_TPS259474ARPWR</v>
      </c>
      <c r="J40" t="str">
        <f>tbl_Rohdaten[[#This Row],[Description]]</f>
        <v>2.7-V to 23-V, 28-mΩ, 5.5-A eFuse with integrated reverse polarity protection</v>
      </c>
      <c r="K40" s="7" t="str">
        <f>IF(tbl_Rohdaten[[#This Row],[Datasheet]]="","",HYPERLINK(tbl_Rohdaten[[#This Row],[Datasheet]],"Datasheet "&amp;Tabelle2[[#This Row],[Category]]))</f>
        <v>Datasheet eFuse</v>
      </c>
      <c r="L40" t="s">
        <v>241</v>
      </c>
      <c r="M40" t="s">
        <v>248</v>
      </c>
      <c r="N40" s="21" t="s">
        <v>247</v>
      </c>
      <c r="O40" s="11">
        <v>1.31</v>
      </c>
      <c r="P40" s="11">
        <f>Tabelle2[[#This Row],[Unit Price]]*Tabelle2[[#This Row],[Qty Order]]</f>
        <v>3.93</v>
      </c>
      <c r="Q40" s="20" t="b">
        <v>0</v>
      </c>
      <c r="R40" s="20" t="b">
        <v>0</v>
      </c>
    </row>
    <row r="41" spans="1:18" x14ac:dyDescent="0.2">
      <c r="A41" s="4">
        <v>40</v>
      </c>
      <c r="B41" s="5" t="s">
        <v>204</v>
      </c>
      <c r="C41" t="str">
        <f>tbl_Rohdaten[[#This Row],[Reference]]</f>
        <v>UART1</v>
      </c>
      <c r="D41">
        <f>tbl_Rohdaten[[#This Row],[Qty PCB]]</f>
        <v>1</v>
      </c>
      <c r="E41">
        <v>0</v>
      </c>
      <c r="F41">
        <f>(Tabelle2[[#This Row],[Qty PCB]]+Tabelle2[[#This Row],[Qty Reserve]])*$F$50</f>
        <v>3</v>
      </c>
      <c r="G41" s="13" t="str">
        <f>tbl_Rohdaten[[#This Row],[Manufacturer]]</f>
        <v>Wurth Elektronik</v>
      </c>
      <c r="H41" s="13" t="str">
        <f>tbl_Rohdaten[[#This Row],[Part Number]]</f>
        <v>61300211121</v>
      </c>
      <c r="I41" t="str">
        <f>tbl_Rohdaten[[#This Row],[Footprint]]</f>
        <v>Connector_THT_Wurth:J_Wurth_WR-PHD_61300211121</v>
      </c>
      <c r="J41" t="str">
        <f>tbl_Rohdaten[[#This Row],[Description]]</f>
        <v>2.54 mm THT Pin Header</v>
      </c>
      <c r="K41" s="7" t="str">
        <f>IF(tbl_Rohdaten[[#This Row],[Datasheet]]="","",HYPERLINK(tbl_Rohdaten[[#This Row],[Datasheet]],"Datasheet "&amp;Tabelle2[[#This Row],[Category]]))</f>
        <v>Datasheet Connector</v>
      </c>
      <c r="L41" s="13" t="str">
        <f>tbl_Rohdaten[[#This Row],[Manufacturer]]</f>
        <v>Wurth Elektronik</v>
      </c>
      <c r="M41" t="str">
        <f>tbl_Rohdaten[[#This Row],[Part Number]]</f>
        <v>61300211121</v>
      </c>
      <c r="N41" s="21" t="s">
        <v>249</v>
      </c>
      <c r="O41" s="11">
        <v>0</v>
      </c>
      <c r="P41" s="11">
        <f>Tabelle2[[#This Row],[Unit Price]]*Tabelle2[[#This Row],[Qty Order]]</f>
        <v>0</v>
      </c>
      <c r="Q41" s="20" t="b">
        <v>0</v>
      </c>
      <c r="R41" s="20" t="b">
        <v>0</v>
      </c>
    </row>
    <row r="42" spans="1:18" x14ac:dyDescent="0.2">
      <c r="A42" s="4">
        <v>41</v>
      </c>
      <c r="B42" s="5" t="s">
        <v>216</v>
      </c>
      <c r="C42" t="str">
        <f>tbl_Rohdaten[[#This Row],[Reference]]</f>
        <v>Y1</v>
      </c>
      <c r="D42">
        <f>tbl_Rohdaten[[#This Row],[Qty PCB]]</f>
        <v>1</v>
      </c>
      <c r="E42">
        <v>0</v>
      </c>
      <c r="F42">
        <f>(Tabelle2[[#This Row],[Qty PCB]]+Tabelle2[[#This Row],[Qty Reserve]])*$F$50</f>
        <v>3</v>
      </c>
      <c r="G42" s="13" t="str">
        <f>tbl_Rohdaten[[#This Row],[Manufacturer]]</f>
        <v>Wurth Elektronik</v>
      </c>
      <c r="H42" s="13" t="str">
        <f>tbl_Rohdaten[[#This Row],[Part Number]]</f>
        <v>830108213209</v>
      </c>
      <c r="I42" t="str">
        <f>tbl_Rohdaten[[#This Row],[Footprint]]</f>
        <v>Crystal_SMD_Wurth:Y_Wurth_WE-XTAL_Quartz-IQXC-42</v>
      </c>
      <c r="J42" t="str">
        <f>tbl_Rohdaten[[#This Row],[Description]]</f>
        <v>Quartz Crystal ED</v>
      </c>
      <c r="K42" s="7" t="str">
        <f>IF(tbl_Rohdaten[[#This Row],[Datasheet]]="","",HYPERLINK(tbl_Rohdaten[[#This Row],[Datasheet]],"Datasheet "&amp;Tabelle2[[#This Row],[Category]]))</f>
        <v>Datasheet Crystal</v>
      </c>
      <c r="L42" s="13" t="str">
        <f>tbl_Rohdaten[[#This Row],[Manufacturer]]</f>
        <v>Wurth Elektronik</v>
      </c>
      <c r="M42" t="str">
        <f>tbl_Rohdaten[[#This Row],[Part Number]]</f>
        <v>830108213209</v>
      </c>
      <c r="N42" s="21" t="s">
        <v>249</v>
      </c>
      <c r="O42" s="11">
        <v>0</v>
      </c>
      <c r="P42" s="11">
        <f>Tabelle2[[#This Row],[Unit Price]]*Tabelle2[[#This Row],[Qty Order]]</f>
        <v>0</v>
      </c>
      <c r="Q42" s="20" t="b">
        <v>0</v>
      </c>
      <c r="R42" s="20" t="b">
        <v>0</v>
      </c>
    </row>
    <row r="43" spans="1:18" x14ac:dyDescent="0.2">
      <c r="A43" s="4">
        <v>42</v>
      </c>
      <c r="B43" s="12" t="s">
        <v>219</v>
      </c>
      <c r="C43" t="s">
        <v>234</v>
      </c>
      <c r="D43">
        <v>1</v>
      </c>
      <c r="E43">
        <v>0</v>
      </c>
      <c r="F43">
        <f>(Tabelle2[[#This Row],[Qty PCB]]+Tabelle2[[#This Row],[Qty Reserve]])*$F$50</f>
        <v>3</v>
      </c>
      <c r="G43" s="5" t="s">
        <v>10</v>
      </c>
      <c r="H43" s="14" t="s">
        <v>223</v>
      </c>
      <c r="I43" t="s">
        <v>234</v>
      </c>
      <c r="J43" s="13" t="s">
        <v>225</v>
      </c>
      <c r="K43" s="21" t="s">
        <v>250</v>
      </c>
      <c r="L43" s="5" t="s">
        <v>10</v>
      </c>
      <c r="M43" s="14" t="s">
        <v>223</v>
      </c>
      <c r="N43" s="21" t="s">
        <v>249</v>
      </c>
      <c r="O43" s="11">
        <v>0</v>
      </c>
      <c r="P43" s="11">
        <f>Tabelle2[[#This Row],[Unit Price]]*Tabelle2[[#This Row],[Qty Order]]</f>
        <v>0</v>
      </c>
      <c r="Q43" s="20" t="b">
        <v>0</v>
      </c>
      <c r="R43" s="20" t="b">
        <v>0</v>
      </c>
    </row>
    <row r="44" spans="1:18" x14ac:dyDescent="0.2">
      <c r="A44" s="4">
        <v>43</v>
      </c>
      <c r="B44" s="12" t="s">
        <v>220</v>
      </c>
      <c r="C44" t="s">
        <v>234</v>
      </c>
      <c r="D44">
        <v>1</v>
      </c>
      <c r="E44">
        <v>0</v>
      </c>
      <c r="F44">
        <f>(Tabelle2[[#This Row],[Qty PCB]]+Tabelle2[[#This Row],[Qty Reserve]])*$F$50</f>
        <v>3</v>
      </c>
      <c r="G44" s="5" t="s">
        <v>10</v>
      </c>
      <c r="H44" s="14" t="s">
        <v>224</v>
      </c>
      <c r="I44" t="s">
        <v>234</v>
      </c>
      <c r="J44" s="13" t="s">
        <v>226</v>
      </c>
      <c r="K44" s="21" t="s">
        <v>250</v>
      </c>
      <c r="L44" s="5" t="s">
        <v>10</v>
      </c>
      <c r="M44" s="14" t="s">
        <v>224</v>
      </c>
      <c r="N44" s="21" t="s">
        <v>249</v>
      </c>
      <c r="O44" s="11">
        <v>0</v>
      </c>
      <c r="P44" s="11">
        <f>Tabelle2[[#This Row],[Unit Price]]*Tabelle2[[#This Row],[Qty Order]]</f>
        <v>0</v>
      </c>
      <c r="Q44" s="20" t="b">
        <v>0</v>
      </c>
      <c r="R44" s="20" t="b">
        <v>0</v>
      </c>
    </row>
    <row r="45" spans="1:18" x14ac:dyDescent="0.2">
      <c r="A45" s="4">
        <v>44</v>
      </c>
      <c r="B45" s="12" t="s">
        <v>221</v>
      </c>
      <c r="C45" t="s">
        <v>237</v>
      </c>
      <c r="D45">
        <v>8</v>
      </c>
      <c r="E45">
        <v>0</v>
      </c>
      <c r="F45">
        <f>(Tabelle2[[#This Row],[Qty PCB]]+Tabelle2[[#This Row],[Qty Reserve]])*$F$50</f>
        <v>24</v>
      </c>
      <c r="G45" s="13"/>
      <c r="H45" s="13"/>
      <c r="I45" t="s">
        <v>234</v>
      </c>
      <c r="J45" s="5" t="s">
        <v>230</v>
      </c>
      <c r="K45" s="7"/>
      <c r="L45" s="13"/>
      <c r="O45" s="11">
        <v>0</v>
      </c>
      <c r="P45" s="11">
        <f>Tabelle2[[#This Row],[Unit Price]]*Tabelle2[[#This Row],[Qty Order]]</f>
        <v>0</v>
      </c>
      <c r="Q45" s="20" t="b">
        <v>0</v>
      </c>
      <c r="R45" s="20" t="b">
        <v>0</v>
      </c>
    </row>
    <row r="46" spans="1:18" x14ac:dyDescent="0.2">
      <c r="A46" s="4">
        <v>45</v>
      </c>
      <c r="B46" s="12" t="s">
        <v>227</v>
      </c>
      <c r="C46" t="s">
        <v>229</v>
      </c>
      <c r="D46">
        <v>4</v>
      </c>
      <c r="E46">
        <v>0</v>
      </c>
      <c r="F46">
        <f>(Tabelle2[[#This Row],[Qty PCB]]+Tabelle2[[#This Row],[Qty Reserve]])*$F$50</f>
        <v>12</v>
      </c>
      <c r="G46" s="5" t="s">
        <v>10</v>
      </c>
      <c r="H46" s="13">
        <v>970200351</v>
      </c>
      <c r="I46" t="s">
        <v>234</v>
      </c>
      <c r="J46" s="5" t="s">
        <v>231</v>
      </c>
      <c r="K46" s="21" t="s">
        <v>251</v>
      </c>
      <c r="L46" s="5" t="s">
        <v>10</v>
      </c>
      <c r="M46" s="13">
        <v>970200351</v>
      </c>
      <c r="N46" s="21" t="s">
        <v>249</v>
      </c>
      <c r="O46" s="11">
        <v>0</v>
      </c>
      <c r="P46" s="11">
        <f>Tabelle2[[#This Row],[Unit Price]]*Tabelle2[[#This Row],[Qty Order]]</f>
        <v>0</v>
      </c>
      <c r="Q46" s="20" t="b">
        <v>0</v>
      </c>
      <c r="R46" s="20" t="b">
        <v>0</v>
      </c>
    </row>
    <row r="47" spans="1:18" x14ac:dyDescent="0.2">
      <c r="A47" s="4">
        <v>46</v>
      </c>
      <c r="B47" s="12" t="s">
        <v>252</v>
      </c>
      <c r="C47" t="s">
        <v>228</v>
      </c>
      <c r="D47">
        <v>4</v>
      </c>
      <c r="E47">
        <v>0</v>
      </c>
      <c r="F47">
        <f>(Tabelle2[[#This Row],[Qty PCB]]+Tabelle2[[#This Row],[Qty Reserve]])*$F$50</f>
        <v>12</v>
      </c>
      <c r="G47" s="5" t="s">
        <v>10</v>
      </c>
      <c r="H47" s="13">
        <v>971100351</v>
      </c>
      <c r="I47" t="s">
        <v>234</v>
      </c>
      <c r="J47" s="5" t="s">
        <v>231</v>
      </c>
      <c r="K47" s="22" t="s">
        <v>253</v>
      </c>
      <c r="L47" s="5" t="s">
        <v>10</v>
      </c>
      <c r="M47" s="13">
        <v>971100351</v>
      </c>
      <c r="N47" s="21" t="s">
        <v>249</v>
      </c>
      <c r="O47" s="11">
        <v>0</v>
      </c>
      <c r="P47" s="11">
        <f>Tabelle2[[#This Row],[Unit Price]]*Tabelle2[[#This Row],[Qty Order]]</f>
        <v>0</v>
      </c>
      <c r="Q47" s="20" t="b">
        <v>0</v>
      </c>
      <c r="R47" s="20" t="b">
        <v>0</v>
      </c>
    </row>
    <row r="48" spans="1:18" x14ac:dyDescent="0.2">
      <c r="A48" s="4">
        <v>47</v>
      </c>
      <c r="B48" s="13" t="s">
        <v>222</v>
      </c>
      <c r="C48" t="s">
        <v>228</v>
      </c>
      <c r="D48">
        <v>4</v>
      </c>
      <c r="E48">
        <v>0</v>
      </c>
      <c r="F48">
        <f>(Tabelle2[[#This Row],[Qty PCB]]+Tabelle2[[#This Row],[Qty Reserve]])*$F$50</f>
        <v>12</v>
      </c>
      <c r="G48" s="15" t="s">
        <v>10</v>
      </c>
      <c r="H48" s="13">
        <v>94505039</v>
      </c>
      <c r="I48" t="s">
        <v>234</v>
      </c>
      <c r="J48" s="5" t="s">
        <v>232</v>
      </c>
      <c r="K48" s="21" t="s">
        <v>254</v>
      </c>
      <c r="L48" s="15" t="s">
        <v>10</v>
      </c>
      <c r="M48" s="13">
        <v>94505039</v>
      </c>
      <c r="N48" s="21" t="s">
        <v>249</v>
      </c>
      <c r="O48" s="11">
        <v>0</v>
      </c>
      <c r="P48" s="11">
        <f>Tabelle2[[#This Row],[Unit Price]]*Tabelle2[[#This Row],[Qty Order]]</f>
        <v>0</v>
      </c>
      <c r="Q48" s="20" t="b">
        <v>0</v>
      </c>
      <c r="R48" s="20" t="b">
        <v>0</v>
      </c>
    </row>
    <row r="49" spans="1:18" ht="17" thickBot="1" x14ac:dyDescent="0.25">
      <c r="A49" s="4">
        <v>48</v>
      </c>
      <c r="B49" t="s">
        <v>236</v>
      </c>
      <c r="C49" t="s">
        <v>234</v>
      </c>
      <c r="D49">
        <v>1</v>
      </c>
      <c r="E49">
        <v>0</v>
      </c>
      <c r="F49">
        <f>(Tabelle2[[#This Row],[Qty PCB]]+Tabelle2[[#This Row],[Qty Reserve]])*$F$50</f>
        <v>3</v>
      </c>
      <c r="G49" t="s">
        <v>234</v>
      </c>
      <c r="H49" s="13" t="s">
        <v>234</v>
      </c>
      <c r="I49" t="s">
        <v>234</v>
      </c>
      <c r="J49" t="s">
        <v>238</v>
      </c>
      <c r="K49" s="22" t="s">
        <v>234</v>
      </c>
      <c r="L49" s="5"/>
      <c r="O49" s="11"/>
      <c r="P49" s="11">
        <f>Tabelle2[[#This Row],[Unit Price]]*Tabelle2[[#This Row],[Qty Order]]</f>
        <v>0</v>
      </c>
      <c r="Q49" s="20" t="b">
        <v>1</v>
      </c>
      <c r="R49" s="20" t="b">
        <v>1</v>
      </c>
    </row>
    <row r="50" spans="1:18" s="16" customFormat="1" ht="28" thickBot="1" x14ac:dyDescent="0.4">
      <c r="E50" s="17" t="s">
        <v>217</v>
      </c>
      <c r="F50" s="18">
        <v>3</v>
      </c>
      <c r="O50" s="19" t="s">
        <v>233</v>
      </c>
      <c r="P50" s="23">
        <f>SUM(Tabelle2[Total Price])</f>
        <v>42.33</v>
      </c>
    </row>
  </sheetData>
  <conditionalFormatting sqref="Q1:Q49">
    <cfRule type="expression" dxfId="3" priority="3">
      <formula>$Q1=TRUE</formula>
    </cfRule>
    <cfRule type="expression" dxfId="2" priority="4">
      <formula>$Q1=FALSE</formula>
    </cfRule>
  </conditionalFormatting>
  <conditionalFormatting sqref="R1:R49">
    <cfRule type="expression" dxfId="1" priority="1" stopIfTrue="1">
      <formula>$R1=TRUE</formula>
    </cfRule>
    <cfRule type="expression" dxfId="0" priority="2">
      <formula>$R1=FALSE</formula>
    </cfRule>
  </conditionalFormatting>
  <hyperlinks>
    <hyperlink ref="N13" r:id="rId1" xr:uid="{73B530FB-E20C-D442-8094-364BC18D7C3F}"/>
    <hyperlink ref="N16" r:id="rId2" xr:uid="{CCDD8136-09BF-394C-9FDA-E69256A15767}"/>
    <hyperlink ref="N39" r:id="rId3" display="https://www.mouser.de/ProductDetail/Texas-Instruments/TMAG5173B2QDBVRQ1?qs=iLKYxzqNS74KwZhA3G5P0Q==&amp;utm_id=22433149151&amp;utm_source=google&amp;utm_medium=cpc&amp;utm_marketing_tactic=emeacorp&amp;gad_source=1&amp;gad_campaignid=22426713531&amp;gbraid=0AAAAADn_wf0-jz2L3MSs0GGfaMKYTELoz&amp;gclid=Cj0KCQjwlqTRBhCBARIsANrkrxiH_egkO0jIEILKn8VKWsx20FYf5MORkePYtorPR3eInyKRL3lb6FgaAgOzEALw_wcB" xr:uid="{A2DB4666-0D1C-EB41-B5DE-036F0472848A}"/>
    <hyperlink ref="N40" r:id="rId4" xr:uid="{59EE30E7-EF8E-B64C-994A-61586D02A97E}"/>
    <hyperlink ref="N2" r:id="rId5" xr:uid="{47D8F3C7-C68F-4846-91DF-66DCAD478CAE}"/>
    <hyperlink ref="N3:N12" r:id="rId6" display="https://www.we-online.com/de?srsltid=AfmBOoq61gZ_CA56AE41aBT6s_dCWH98NNFLsv8URlrYH9DsDS603M3t" xr:uid="{B7FDB85F-C717-5645-880B-42BE6E80C6DE}"/>
    <hyperlink ref="N14" r:id="rId7" xr:uid="{1CC2D5F3-97E2-214C-9984-008019E0B711}"/>
    <hyperlink ref="N15" r:id="rId8" xr:uid="{53A91FBC-3740-9049-A8BF-A4C7DE78246B}"/>
    <hyperlink ref="N17" r:id="rId9" xr:uid="{8B61F360-0853-1A42-B036-B1AF478E5587}"/>
    <hyperlink ref="N41" r:id="rId10" xr:uid="{28EEB485-B223-0B44-81CF-69A9EC2C857E}"/>
    <hyperlink ref="N42" r:id="rId11" xr:uid="{E1C80E78-C464-A24F-A2DB-1E1DB3E252EA}"/>
    <hyperlink ref="N43" r:id="rId12" xr:uid="{7E84C39E-39DC-C64D-BA6D-3F764F561D22}"/>
    <hyperlink ref="N44" r:id="rId13" xr:uid="{BAB671CF-D380-C642-A5EB-F7458882D442}"/>
    <hyperlink ref="N46" r:id="rId14" xr:uid="{938E849D-E522-7145-AC13-8FDEA2301D0A}"/>
    <hyperlink ref="N47" r:id="rId15" xr:uid="{D7FBCA3C-7D8E-E24A-9293-A39717E7BCD8}"/>
    <hyperlink ref="N48" r:id="rId16" xr:uid="{45DFF236-9E02-6841-89B5-79285AC4B48F}"/>
    <hyperlink ref="N38" r:id="rId17" display="https://www.mouser.de/ProductDetail/Espressif-Systems/ESP32-C3FH4?qs=iLbezkQI%252BsgL5PSvEueYlQ==&amp;mgh=1&amp;vip=1&amp;utm_id=20979042631&amp;utm_source=google&amp;utm_medium=cpc&amp;utm_marketing_tactic=emeacorp&amp;gad_source=1&amp;gad_campaignid=20975737652&amp;gbraid=0AAAAADn_wf2UblcwjSJorOxUbOzZ7jwgs&amp;gclid=CjwKCAjwuanRBhBSEiwAY5y6V1S9GD2eXae0iaxpMaOjz1BOryKPy6LJ7eYUuMVZV7Pbaq8qcUgkFBoCOL8QAvD_BwE" xr:uid="{7EC764FA-0243-924A-8315-FAC1A420F86C}"/>
    <hyperlink ref="K43" r:id="rId18" xr:uid="{0D33225C-EBD9-7B40-9E11-753448B203A8}"/>
    <hyperlink ref="K44" r:id="rId19" xr:uid="{DDE705EB-ED2C-7E4A-9166-379C692CAB89}"/>
    <hyperlink ref="K46" r:id="rId20" xr:uid="{567ECED2-8E4F-6446-910C-5EE2E473273E}"/>
    <hyperlink ref="K47" r:id="rId21" xr:uid="{6ADCAE34-9968-D244-95BD-CFFEE04903FE}"/>
    <hyperlink ref="K48" r:id="rId22" xr:uid="{9D335850-FD7E-BB43-B0B8-058D9E863C4E}"/>
  </hyperlinks>
  <pageMargins left="0.7" right="0.7" top="0.78740157499999996" bottom="0.78740157499999996" header="0.3" footer="0.3"/>
  <tableParts count="1"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4B891-FEF1-FE41-A779-A769F2325D3F}">
  <dimension ref="A1:G42"/>
  <sheetViews>
    <sheetView zoomScale="75" workbookViewId="0">
      <selection activeCell="D31" sqref="D31"/>
    </sheetView>
  </sheetViews>
  <sheetFormatPr baseColWidth="10" defaultRowHeight="16" x14ac:dyDescent="0.2"/>
  <cols>
    <col min="1" max="1" width="47.6640625" bestFit="1" customWidth="1"/>
    <col min="2" max="2" width="11.6640625" bestFit="1" customWidth="1"/>
    <col min="3" max="3" width="59" bestFit="1" customWidth="1"/>
    <col min="4" max="4" width="80.6640625" bestFit="1" customWidth="1"/>
    <col min="5" max="5" width="16.33203125" bestFit="1" customWidth="1"/>
    <col min="6" max="6" width="21.5" bestFit="1" customWidth="1"/>
    <col min="7" max="7" width="80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>
        <v>6</v>
      </c>
      <c r="C3" t="s">
        <v>14</v>
      </c>
      <c r="D3" t="s">
        <v>15</v>
      </c>
      <c r="E3" t="s">
        <v>10</v>
      </c>
      <c r="F3" t="s">
        <v>16</v>
      </c>
      <c r="G3" t="s">
        <v>17</v>
      </c>
    </row>
    <row r="4" spans="1:7" x14ac:dyDescent="0.2">
      <c r="A4" t="s">
        <v>18</v>
      </c>
      <c r="B4">
        <v>1</v>
      </c>
      <c r="C4" t="s">
        <v>14</v>
      </c>
      <c r="D4" t="s">
        <v>19</v>
      </c>
      <c r="E4" t="s">
        <v>10</v>
      </c>
      <c r="F4" t="s">
        <v>20</v>
      </c>
      <c r="G4" t="s">
        <v>21</v>
      </c>
    </row>
    <row r="5" spans="1:7" x14ac:dyDescent="0.2">
      <c r="A5" t="s">
        <v>22</v>
      </c>
      <c r="B5">
        <v>12</v>
      </c>
      <c r="C5" t="s">
        <v>23</v>
      </c>
      <c r="D5" t="s">
        <v>24</v>
      </c>
      <c r="E5" t="s">
        <v>10</v>
      </c>
      <c r="F5" t="s">
        <v>25</v>
      </c>
      <c r="G5" t="s">
        <v>26</v>
      </c>
    </row>
    <row r="6" spans="1:7" x14ac:dyDescent="0.2">
      <c r="A6" t="s">
        <v>27</v>
      </c>
      <c r="B6">
        <v>1</v>
      </c>
      <c r="C6" t="s">
        <v>23</v>
      </c>
      <c r="D6" t="s">
        <v>28</v>
      </c>
      <c r="E6" t="s">
        <v>10</v>
      </c>
      <c r="F6" t="s">
        <v>29</v>
      </c>
      <c r="G6" t="s">
        <v>17</v>
      </c>
    </row>
    <row r="7" spans="1:7" x14ac:dyDescent="0.2">
      <c r="A7" t="s">
        <v>30</v>
      </c>
      <c r="B7">
        <v>4</v>
      </c>
      <c r="C7" t="s">
        <v>31</v>
      </c>
      <c r="D7" t="s">
        <v>32</v>
      </c>
      <c r="E7" t="s">
        <v>10</v>
      </c>
      <c r="F7" t="s">
        <v>33</v>
      </c>
      <c r="G7" t="s">
        <v>17</v>
      </c>
    </row>
    <row r="8" spans="1:7" x14ac:dyDescent="0.2">
      <c r="A8" t="s">
        <v>34</v>
      </c>
      <c r="B8">
        <v>4</v>
      </c>
      <c r="C8" t="s">
        <v>35</v>
      </c>
      <c r="D8" t="s">
        <v>36</v>
      </c>
      <c r="E8" t="s">
        <v>10</v>
      </c>
      <c r="F8" t="s">
        <v>37</v>
      </c>
      <c r="G8" t="s">
        <v>38</v>
      </c>
    </row>
    <row r="9" spans="1:7" x14ac:dyDescent="0.2">
      <c r="A9" t="s">
        <v>39</v>
      </c>
      <c r="B9">
        <v>1</v>
      </c>
      <c r="C9" t="s">
        <v>31</v>
      </c>
      <c r="D9" t="s">
        <v>40</v>
      </c>
      <c r="E9" t="s">
        <v>10</v>
      </c>
      <c r="F9" t="s">
        <v>41</v>
      </c>
      <c r="G9" t="s">
        <v>42</v>
      </c>
    </row>
    <row r="10" spans="1:7" x14ac:dyDescent="0.2">
      <c r="A10" t="s">
        <v>43</v>
      </c>
      <c r="B10">
        <v>1</v>
      </c>
      <c r="C10" t="s">
        <v>44</v>
      </c>
      <c r="D10" t="s">
        <v>45</v>
      </c>
      <c r="E10" t="s">
        <v>10</v>
      </c>
      <c r="F10" t="s">
        <v>46</v>
      </c>
      <c r="G10" t="s">
        <v>47</v>
      </c>
    </row>
    <row r="11" spans="1:7" x14ac:dyDescent="0.2">
      <c r="A11" t="s">
        <v>48</v>
      </c>
      <c r="B11">
        <v>1</v>
      </c>
      <c r="C11" t="s">
        <v>14</v>
      </c>
      <c r="D11" t="s">
        <v>49</v>
      </c>
      <c r="E11" t="s">
        <v>10</v>
      </c>
      <c r="F11" t="s">
        <v>50</v>
      </c>
      <c r="G11" t="s">
        <v>51</v>
      </c>
    </row>
    <row r="12" spans="1:7" x14ac:dyDescent="0.2">
      <c r="A12" t="s">
        <v>52</v>
      </c>
      <c r="B12">
        <v>2</v>
      </c>
      <c r="C12" t="s">
        <v>53</v>
      </c>
      <c r="D12" t="s">
        <v>54</v>
      </c>
      <c r="E12" t="s">
        <v>10</v>
      </c>
      <c r="F12" t="s">
        <v>55</v>
      </c>
      <c r="G12" t="s">
        <v>42</v>
      </c>
    </row>
    <row r="13" spans="1:7" x14ac:dyDescent="0.2">
      <c r="A13" t="s">
        <v>56</v>
      </c>
      <c r="B13">
        <v>4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</row>
    <row r="14" spans="1:7" x14ac:dyDescent="0.2">
      <c r="A14" t="s">
        <v>62</v>
      </c>
      <c r="B14">
        <v>1</v>
      </c>
      <c r="C14" t="s">
        <v>63</v>
      </c>
      <c r="D14" t="s">
        <v>64</v>
      </c>
      <c r="E14" t="s">
        <v>10</v>
      </c>
      <c r="F14" t="s">
        <v>65</v>
      </c>
      <c r="G14" t="s">
        <v>66</v>
      </c>
    </row>
    <row r="15" spans="1:7" x14ac:dyDescent="0.2">
      <c r="A15" t="s">
        <v>67</v>
      </c>
      <c r="B15">
        <v>1</v>
      </c>
      <c r="C15" t="s">
        <v>68</v>
      </c>
      <c r="D15" t="s">
        <v>69</v>
      </c>
      <c r="E15" t="s">
        <v>10</v>
      </c>
      <c r="F15" t="s">
        <v>70</v>
      </c>
      <c r="G15" t="s">
        <v>71</v>
      </c>
    </row>
    <row r="16" spans="1:7" x14ac:dyDescent="0.2">
      <c r="A16" t="s">
        <v>72</v>
      </c>
      <c r="B16">
        <v>1</v>
      </c>
      <c r="C16" t="s">
        <v>73</v>
      </c>
      <c r="D16" t="s">
        <v>74</v>
      </c>
      <c r="E16" t="s">
        <v>59</v>
      </c>
      <c r="F16" t="s">
        <v>75</v>
      </c>
      <c r="G16" t="s">
        <v>76</v>
      </c>
    </row>
    <row r="17" spans="1:7" x14ac:dyDescent="0.2">
      <c r="A17" t="s">
        <v>77</v>
      </c>
      <c r="B17">
        <v>1</v>
      </c>
      <c r="C17" t="s">
        <v>78</v>
      </c>
      <c r="D17" t="s">
        <v>79</v>
      </c>
      <c r="E17" t="s">
        <v>80</v>
      </c>
      <c r="F17" t="s">
        <v>81</v>
      </c>
      <c r="G17" t="s">
        <v>82</v>
      </c>
    </row>
    <row r="18" spans="1:7" x14ac:dyDescent="0.2">
      <c r="A18" t="s">
        <v>83</v>
      </c>
      <c r="B18">
        <v>1</v>
      </c>
      <c r="C18" t="s">
        <v>84</v>
      </c>
      <c r="D18" t="s">
        <v>85</v>
      </c>
      <c r="E18" t="s">
        <v>86</v>
      </c>
      <c r="F18" t="s">
        <v>87</v>
      </c>
      <c r="G18" t="s">
        <v>88</v>
      </c>
    </row>
    <row r="19" spans="1:7" x14ac:dyDescent="0.2">
      <c r="A19" t="s">
        <v>89</v>
      </c>
      <c r="B19">
        <v>2</v>
      </c>
      <c r="C19" t="s">
        <v>90</v>
      </c>
      <c r="D19" t="s">
        <v>91</v>
      </c>
      <c r="E19" t="s">
        <v>10</v>
      </c>
      <c r="F19" t="s">
        <v>92</v>
      </c>
      <c r="G19" t="s">
        <v>93</v>
      </c>
    </row>
    <row r="20" spans="1:7" x14ac:dyDescent="0.2">
      <c r="A20" t="s">
        <v>94</v>
      </c>
      <c r="B20">
        <v>1</v>
      </c>
      <c r="C20" t="s">
        <v>95</v>
      </c>
      <c r="D20" t="s">
        <v>96</v>
      </c>
      <c r="E20" t="s">
        <v>10</v>
      </c>
      <c r="F20" t="s">
        <v>97</v>
      </c>
      <c r="G20" t="s">
        <v>93</v>
      </c>
    </row>
    <row r="21" spans="1:7" x14ac:dyDescent="0.2">
      <c r="A21" t="s">
        <v>98</v>
      </c>
      <c r="B21">
        <v>2</v>
      </c>
      <c r="C21" t="s">
        <v>99</v>
      </c>
      <c r="D21" t="s">
        <v>100</v>
      </c>
      <c r="E21" t="s">
        <v>10</v>
      </c>
      <c r="F21" t="s">
        <v>101</v>
      </c>
      <c r="G21" t="s">
        <v>102</v>
      </c>
    </row>
    <row r="22" spans="1:7" x14ac:dyDescent="0.2">
      <c r="A22" t="s">
        <v>103</v>
      </c>
      <c r="B22">
        <v>2</v>
      </c>
      <c r="C22" t="s">
        <v>104</v>
      </c>
      <c r="D22" t="s">
        <v>105</v>
      </c>
      <c r="E22" t="s">
        <v>10</v>
      </c>
      <c r="F22" t="s">
        <v>106</v>
      </c>
      <c r="G22" t="s">
        <v>102</v>
      </c>
    </row>
    <row r="23" spans="1:7" x14ac:dyDescent="0.2">
      <c r="A23" t="s">
        <v>107</v>
      </c>
      <c r="B23">
        <v>4</v>
      </c>
      <c r="C23" t="s">
        <v>108</v>
      </c>
      <c r="D23" t="s">
        <v>109</v>
      </c>
      <c r="E23" t="s">
        <v>109</v>
      </c>
      <c r="F23" t="s">
        <v>109</v>
      </c>
      <c r="G23" t="s">
        <v>110</v>
      </c>
    </row>
    <row r="24" spans="1:7" x14ac:dyDescent="0.2">
      <c r="A24" t="s">
        <v>111</v>
      </c>
      <c r="B24">
        <v>1</v>
      </c>
      <c r="C24" t="s">
        <v>112</v>
      </c>
      <c r="D24" t="s">
        <v>113</v>
      </c>
      <c r="E24" t="s">
        <v>10</v>
      </c>
      <c r="F24" t="s">
        <v>114</v>
      </c>
      <c r="G24" t="s">
        <v>115</v>
      </c>
    </row>
    <row r="25" spans="1:7" x14ac:dyDescent="0.2">
      <c r="A25" t="s">
        <v>116</v>
      </c>
      <c r="B25">
        <v>1</v>
      </c>
      <c r="C25" t="s">
        <v>112</v>
      </c>
      <c r="D25" t="s">
        <v>117</v>
      </c>
      <c r="E25" t="s">
        <v>10</v>
      </c>
      <c r="F25" t="s">
        <v>118</v>
      </c>
      <c r="G25" t="s">
        <v>115</v>
      </c>
    </row>
    <row r="26" spans="1:7" x14ac:dyDescent="0.2">
      <c r="A26" t="s">
        <v>119</v>
      </c>
      <c r="B26">
        <v>3</v>
      </c>
      <c r="C26" t="s">
        <v>120</v>
      </c>
      <c r="D26" t="s">
        <v>121</v>
      </c>
      <c r="E26" t="s">
        <v>10</v>
      </c>
      <c r="F26" t="s">
        <v>122</v>
      </c>
      <c r="G26" t="s">
        <v>123</v>
      </c>
    </row>
    <row r="27" spans="1:7" x14ac:dyDescent="0.2">
      <c r="A27" t="s">
        <v>124</v>
      </c>
      <c r="B27">
        <v>2</v>
      </c>
      <c r="C27" t="s">
        <v>125</v>
      </c>
      <c r="D27" t="s">
        <v>126</v>
      </c>
      <c r="E27" t="s">
        <v>10</v>
      </c>
      <c r="F27" t="s">
        <v>127</v>
      </c>
      <c r="G27" t="s">
        <v>128</v>
      </c>
    </row>
    <row r="28" spans="1:7" x14ac:dyDescent="0.2">
      <c r="A28" t="s">
        <v>129</v>
      </c>
      <c r="B28">
        <v>3</v>
      </c>
      <c r="C28" t="s">
        <v>130</v>
      </c>
      <c r="D28" t="s">
        <v>131</v>
      </c>
      <c r="E28" t="s">
        <v>10</v>
      </c>
      <c r="F28" t="s">
        <v>132</v>
      </c>
      <c r="G28" t="s">
        <v>128</v>
      </c>
    </row>
    <row r="29" spans="1:7" x14ac:dyDescent="0.2">
      <c r="A29" t="s">
        <v>133</v>
      </c>
      <c r="B29">
        <v>2</v>
      </c>
      <c r="C29" t="s">
        <v>130</v>
      </c>
      <c r="D29" t="s">
        <v>134</v>
      </c>
      <c r="E29" t="s">
        <v>10</v>
      </c>
      <c r="F29" t="s">
        <v>135</v>
      </c>
      <c r="G29" t="s">
        <v>128</v>
      </c>
    </row>
    <row r="30" spans="1:7" x14ac:dyDescent="0.2">
      <c r="A30" t="s">
        <v>136</v>
      </c>
      <c r="B30">
        <v>3</v>
      </c>
      <c r="C30" t="s">
        <v>125</v>
      </c>
      <c r="D30" t="s">
        <v>137</v>
      </c>
      <c r="E30" t="s">
        <v>10</v>
      </c>
      <c r="F30" t="s">
        <v>138</v>
      </c>
      <c r="G30" t="s">
        <v>128</v>
      </c>
    </row>
    <row r="31" spans="1:7" x14ac:dyDescent="0.2">
      <c r="A31" t="s">
        <v>139</v>
      </c>
      <c r="B31">
        <v>4</v>
      </c>
      <c r="C31" t="s">
        <v>130</v>
      </c>
      <c r="D31" t="s">
        <v>140</v>
      </c>
      <c r="E31" t="s">
        <v>10</v>
      </c>
      <c r="F31" t="s">
        <v>141</v>
      </c>
      <c r="G31" t="s">
        <v>128</v>
      </c>
    </row>
    <row r="32" spans="1:7" x14ac:dyDescent="0.2">
      <c r="A32" t="s">
        <v>142</v>
      </c>
      <c r="B32">
        <v>1</v>
      </c>
      <c r="C32" t="s">
        <v>143</v>
      </c>
      <c r="D32" t="s">
        <v>144</v>
      </c>
      <c r="E32" t="s">
        <v>10</v>
      </c>
      <c r="F32" t="s">
        <v>145</v>
      </c>
      <c r="G32" t="s">
        <v>128</v>
      </c>
    </row>
    <row r="33" spans="1:7" x14ac:dyDescent="0.2">
      <c r="A33" t="s">
        <v>146</v>
      </c>
      <c r="B33">
        <v>1</v>
      </c>
      <c r="C33" t="s">
        <v>147</v>
      </c>
      <c r="D33" t="s">
        <v>148</v>
      </c>
      <c r="E33" t="s">
        <v>10</v>
      </c>
      <c r="F33" t="s">
        <v>149</v>
      </c>
      <c r="G33" t="s">
        <v>128</v>
      </c>
    </row>
    <row r="34" spans="1:7" x14ac:dyDescent="0.2">
      <c r="A34" t="s">
        <v>150</v>
      </c>
      <c r="B34">
        <v>4</v>
      </c>
      <c r="C34" t="s">
        <v>130</v>
      </c>
      <c r="D34" t="s">
        <v>151</v>
      </c>
      <c r="E34" t="s">
        <v>10</v>
      </c>
      <c r="F34" t="s">
        <v>152</v>
      </c>
      <c r="G34" t="s">
        <v>128</v>
      </c>
    </row>
    <row r="35" spans="1:7" x14ac:dyDescent="0.2">
      <c r="A35" t="s">
        <v>153</v>
      </c>
      <c r="B35">
        <v>4</v>
      </c>
      <c r="C35" t="s">
        <v>143</v>
      </c>
      <c r="D35" t="s">
        <v>154</v>
      </c>
      <c r="E35" t="s">
        <v>10</v>
      </c>
      <c r="F35" t="s">
        <v>155</v>
      </c>
      <c r="G35" t="s">
        <v>128</v>
      </c>
    </row>
    <row r="36" spans="1:7" x14ac:dyDescent="0.2">
      <c r="A36" t="s">
        <v>156</v>
      </c>
      <c r="B36">
        <v>12</v>
      </c>
      <c r="C36" t="s">
        <v>125</v>
      </c>
      <c r="D36" t="s">
        <v>157</v>
      </c>
      <c r="E36" t="s">
        <v>10</v>
      </c>
      <c r="F36" t="s">
        <v>158</v>
      </c>
      <c r="G36" t="s">
        <v>128</v>
      </c>
    </row>
    <row r="37" spans="1:7" x14ac:dyDescent="0.2">
      <c r="A37" t="s">
        <v>159</v>
      </c>
      <c r="B37">
        <v>1</v>
      </c>
      <c r="C37" t="s">
        <v>160</v>
      </c>
      <c r="D37" t="s">
        <v>161</v>
      </c>
      <c r="E37" t="s">
        <v>10</v>
      </c>
      <c r="F37" t="s">
        <v>162</v>
      </c>
      <c r="G37" t="s">
        <v>163</v>
      </c>
    </row>
    <row r="38" spans="1:7" x14ac:dyDescent="0.2">
      <c r="A38" t="s">
        <v>164</v>
      </c>
      <c r="B38">
        <v>1</v>
      </c>
      <c r="C38" t="s">
        <v>165</v>
      </c>
      <c r="D38" t="s">
        <v>166</v>
      </c>
      <c r="E38" t="s">
        <v>167</v>
      </c>
      <c r="F38" t="s">
        <v>257</v>
      </c>
      <c r="G38" t="s">
        <v>109</v>
      </c>
    </row>
    <row r="39" spans="1:7" x14ac:dyDescent="0.2">
      <c r="A39" t="s">
        <v>168</v>
      </c>
      <c r="B39">
        <v>1</v>
      </c>
      <c r="C39" t="s">
        <v>169</v>
      </c>
      <c r="D39" t="s">
        <v>170</v>
      </c>
      <c r="E39" t="s">
        <v>59</v>
      </c>
      <c r="F39" t="s">
        <v>171</v>
      </c>
      <c r="G39" t="s">
        <v>172</v>
      </c>
    </row>
    <row r="40" spans="1:7" x14ac:dyDescent="0.2">
      <c r="A40" t="s">
        <v>173</v>
      </c>
      <c r="B40">
        <v>1</v>
      </c>
      <c r="C40" t="s">
        <v>174</v>
      </c>
      <c r="D40" t="s">
        <v>175</v>
      </c>
      <c r="E40" t="s">
        <v>59</v>
      </c>
      <c r="F40" t="s">
        <v>176</v>
      </c>
      <c r="G40" t="s">
        <v>177</v>
      </c>
    </row>
    <row r="41" spans="1:7" x14ac:dyDescent="0.2">
      <c r="A41" t="s">
        <v>178</v>
      </c>
      <c r="B41">
        <v>1</v>
      </c>
      <c r="C41" t="s">
        <v>179</v>
      </c>
      <c r="D41" t="s">
        <v>180</v>
      </c>
      <c r="E41" t="s">
        <v>10</v>
      </c>
      <c r="F41" t="s">
        <v>181</v>
      </c>
      <c r="G41" t="s">
        <v>71</v>
      </c>
    </row>
    <row r="42" spans="1:7" x14ac:dyDescent="0.2">
      <c r="A42" t="s">
        <v>182</v>
      </c>
      <c r="B42">
        <v>1</v>
      </c>
      <c r="C42" t="s">
        <v>183</v>
      </c>
      <c r="D42" t="s">
        <v>184</v>
      </c>
      <c r="E42" t="s">
        <v>10</v>
      </c>
      <c r="F42" t="s">
        <v>185</v>
      </c>
      <c r="G42" t="s">
        <v>186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9272D0-DB48-2444-B934-9DD72AF374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Bestellliste</vt:lpstr>
      <vt:lpstr>tbl_Kicad_Rohdaten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Denz</dc:creator>
  <cp:lastModifiedBy>Luca Denz</cp:lastModifiedBy>
  <dcterms:created xsi:type="dcterms:W3CDTF">2026-06-10T14:36:26Z</dcterms:created>
  <dcterms:modified xsi:type="dcterms:W3CDTF">2026-06-11T08:50:24Z</dcterms:modified>
</cp:coreProperties>
</file>